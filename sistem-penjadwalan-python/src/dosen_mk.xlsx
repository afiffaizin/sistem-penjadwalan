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<sst xmlns="http://schemas.openxmlformats.org/spreadsheetml/2006/main" count="949" uniqueCount="289">
  <si>
    <t>No</t>
  </si>
  <si>
    <t>Kd</t>
  </si>
  <si>
    <t>Kode MK</t>
  </si>
  <si>
    <t>Nama Matakuliah</t>
  </si>
  <si>
    <t>Jml SKS</t>
  </si>
  <si>
    <t>Jml Jam</t>
  </si>
  <si>
    <t>Kelas</t>
  </si>
  <si>
    <t>Prodi</t>
  </si>
  <si>
    <t>Homebase</t>
  </si>
  <si>
    <t>Total SKS</t>
  </si>
  <si>
    <t>Total Jam</t>
  </si>
  <si>
    <t>NWA</t>
  </si>
  <si>
    <t>ARSY</t>
  </si>
  <si>
    <t>RYD</t>
  </si>
  <si>
    <t>Nur Wachid Adi Prasetya, S.Kom., M.Kom.</t>
  </si>
  <si>
    <t>Abdul Rohman Supriyono, S.T., M.Kom.</t>
  </si>
  <si>
    <t>Ir. Riyadi Purwanto, S.T., M.Eng.</t>
  </si>
  <si>
    <t>ANT</t>
  </si>
  <si>
    <t>Antonius Agung Hartono, S.T., M.Eng.</t>
  </si>
  <si>
    <t>RKS</t>
  </si>
  <si>
    <t>TI</t>
  </si>
  <si>
    <t>TRM</t>
  </si>
  <si>
    <t>TRPL</t>
  </si>
  <si>
    <t>0210032</t>
  </si>
  <si>
    <t>Pengantar Sistem Informasi</t>
  </si>
  <si>
    <t>TI-1A</t>
  </si>
  <si>
    <t>0930182</t>
  </si>
  <si>
    <t>Pra Produksi Multimedia</t>
  </si>
  <si>
    <t>Administrasi Sistem Komputer dan Jaringan</t>
  </si>
  <si>
    <t>RKS-2A</t>
  </si>
  <si>
    <t>TRM-1C</t>
  </si>
  <si>
    <t>Pemrograman Mobile</t>
  </si>
  <si>
    <t>TI-1B</t>
  </si>
  <si>
    <t>RKS-2B</t>
  </si>
  <si>
    <t>TRPL-2A</t>
  </si>
  <si>
    <t>RKS-2C</t>
  </si>
  <si>
    <t>0970482</t>
  </si>
  <si>
    <t>Video Editing</t>
  </si>
  <si>
    <t>Manajemen Risiko TI</t>
  </si>
  <si>
    <t>TRM-3A</t>
  </si>
  <si>
    <t>TI-1C</t>
  </si>
  <si>
    <t>TRPL-2B</t>
  </si>
  <si>
    <t>RKS-4A</t>
  </si>
  <si>
    <t>RKS-4B</t>
  </si>
  <si>
    <t>Dasar Pemrograman</t>
  </si>
  <si>
    <t>TI-1D</t>
  </si>
  <si>
    <t>TRM-3B</t>
  </si>
  <si>
    <t>TRPL-1A</t>
  </si>
  <si>
    <t>RKS-4C</t>
  </si>
  <si>
    <t>MNF</t>
  </si>
  <si>
    <t>Muhammad Nur Faiz, S.Kom., M.Kom.</t>
  </si>
  <si>
    <t>DNP</t>
  </si>
  <si>
    <t>Dwi Novia Prasetyanti, S.Kom., M.Cs.</t>
  </si>
  <si>
    <t>TRM-3C</t>
  </si>
  <si>
    <t>0932174</t>
  </si>
  <si>
    <t>Keamanan Basis Data</t>
  </si>
  <si>
    <t>TRPL-1B</t>
  </si>
  <si>
    <t>Metodologi Penelitian</t>
  </si>
  <si>
    <t>0212013</t>
  </si>
  <si>
    <t>Algoritma dan Pemrograman</t>
  </si>
  <si>
    <t>ADL</t>
  </si>
  <si>
    <t>0970492</t>
  </si>
  <si>
    <t>Metode Penelitian</t>
  </si>
  <si>
    <t>Adlan Nugroho, M.T.I.</t>
  </si>
  <si>
    <t>0912063</t>
  </si>
  <si>
    <t>Sistem Operasi</t>
  </si>
  <si>
    <t>RKS-1C</t>
  </si>
  <si>
    <t>RHM</t>
  </si>
  <si>
    <t>Ratih Hafsarah Maharani, S.Kom., M.Kom.</t>
  </si>
  <si>
    <t>0930203</t>
  </si>
  <si>
    <t>Kriptografi</t>
  </si>
  <si>
    <t>Pengantar Teknologi Informasi</t>
  </si>
  <si>
    <t>ISA</t>
  </si>
  <si>
    <t>Isa Bahroni, S.Kom, M.Eng.</t>
  </si>
  <si>
    <t>RKS-1B</t>
  </si>
  <si>
    <t>RTH</t>
  </si>
  <si>
    <t>Ratih, S.Kom., M.Kom.</t>
  </si>
  <si>
    <t>CHY</t>
  </si>
  <si>
    <t>Cahya Vikasari, S.T., M.Eng.</t>
  </si>
  <si>
    <t>0950372</t>
  </si>
  <si>
    <t>Keamanan Perangkat Bergerak</t>
  </si>
  <si>
    <t>RKS-3A</t>
  </si>
  <si>
    <t>RKS-3B</t>
  </si>
  <si>
    <t>RKS-3C</t>
  </si>
  <si>
    <t>Kesehatan dan Keselamatan Kerja (K3)</t>
  </si>
  <si>
    <t>0912043</t>
  </si>
  <si>
    <t>Pengantar Teknologi Informasi dan Literasi</t>
  </si>
  <si>
    <t>RKS-1A</t>
  </si>
  <si>
    <t>TRM-2A</t>
  </si>
  <si>
    <t>0232153</t>
  </si>
  <si>
    <t>Rekayasa Perangkat Lunak</t>
  </si>
  <si>
    <t>Kecerdasan Buatan</t>
  </si>
  <si>
    <t>TI-2A</t>
  </si>
  <si>
    <t>BAP</t>
  </si>
  <si>
    <t>Bella Adinda Putri, M.Kom</t>
  </si>
  <si>
    <t>TRM-2B</t>
  </si>
  <si>
    <t>0970462</t>
  </si>
  <si>
    <t>Audit dan Tata Kelola Keamanan Siber</t>
  </si>
  <si>
    <t>TI-2B</t>
  </si>
  <si>
    <t>0971513</t>
  </si>
  <si>
    <t>Prak. Audit dan Tata Kelola Keamanan Siber</t>
  </si>
  <si>
    <t>TRM-2C</t>
  </si>
  <si>
    <t>TI-2C</t>
  </si>
  <si>
    <t>Pemrograman Web</t>
  </si>
  <si>
    <t>Komunikasi Intrapersonal dan Etika Profesi</t>
  </si>
  <si>
    <t>Broadcasting</t>
  </si>
  <si>
    <t>TI-2D</t>
  </si>
  <si>
    <t>KNQ</t>
  </si>
  <si>
    <t>Krisna Nuresa Qodri, S.T., M.Eng.</t>
  </si>
  <si>
    <t>NWY</t>
  </si>
  <si>
    <t>Nur Wahyu Rahadi, S.Kom., M.Eng.</t>
  </si>
  <si>
    <t>0950362</t>
  </si>
  <si>
    <t>Pengujian Perangkat Lunak</t>
  </si>
  <si>
    <t>LSF</t>
  </si>
  <si>
    <t>0951422</t>
  </si>
  <si>
    <t>0232102</t>
  </si>
  <si>
    <t>Prak. Pengujian Perangkat Lunak</t>
  </si>
  <si>
    <t>Lutfi Syafirullah, S.T. M.Kom.</t>
  </si>
  <si>
    <t>AGS</t>
  </si>
  <si>
    <t>Agus Susanto, S.Kom., M.Kom.</t>
  </si>
  <si>
    <t>0930162</t>
  </si>
  <si>
    <t>Pengembangan Perangkat Lunak Aman dan DevSecOps</t>
  </si>
  <si>
    <t>STR</t>
  </si>
  <si>
    <t>Satriawan Desmana, S.Kom., M.Kom</t>
  </si>
  <si>
    <t>Algoritma dan Struktur Data</t>
  </si>
  <si>
    <t>Menggambar</t>
  </si>
  <si>
    <t>0950382</t>
  </si>
  <si>
    <t>TRM-1A</t>
  </si>
  <si>
    <t>Keamanan Web dan Cloud</t>
  </si>
  <si>
    <t>0912053</t>
  </si>
  <si>
    <t>TRM-1B</t>
  </si>
  <si>
    <t>Sistem Digital</t>
  </si>
  <si>
    <t>Analisis dan Desain Sistem</t>
  </si>
  <si>
    <t>TSF</t>
  </si>
  <si>
    <t>Tri Stiyo Famuji, M.Kom. (Dosen UNAIC)</t>
  </si>
  <si>
    <t>ADS</t>
  </si>
  <si>
    <t>Andesita Prihantara, S.T., M.Eng.</t>
  </si>
  <si>
    <t>0912014</t>
  </si>
  <si>
    <t>Algoritma Pemrograman</t>
  </si>
  <si>
    <t>Pemodelan 3D Berbasis Karakter</t>
  </si>
  <si>
    <t>RID</t>
  </si>
  <si>
    <t>Riko Iman Decamarta, M.Kom.</t>
  </si>
  <si>
    <t>0232143</t>
  </si>
  <si>
    <t>Interaksi Manusia dan Komputer</t>
  </si>
  <si>
    <t>Jaringan Komputer</t>
  </si>
  <si>
    <t>0950352</t>
  </si>
  <si>
    <t>Penetrasi Testing</t>
  </si>
  <si>
    <t>0951412</t>
  </si>
  <si>
    <t>Prak. Penetrasi Testing</t>
  </si>
  <si>
    <t>0951432</t>
  </si>
  <si>
    <t>Prak. Forensik Digital</t>
  </si>
  <si>
    <t>JKO</t>
  </si>
  <si>
    <t>SAN</t>
  </si>
  <si>
    <t>Santi Purwaningrum, S.Kom., M.Kom.</t>
  </si>
  <si>
    <t>Joko Purwanto, S.T, M.Kom</t>
  </si>
  <si>
    <t>KSW</t>
  </si>
  <si>
    <t>Drs. Koes Wiyatmoko, M.Kom.</t>
  </si>
  <si>
    <t>0950392</t>
  </si>
  <si>
    <t>Keamanan Sistem Siber-Fisik</t>
  </si>
  <si>
    <t>Desain Elementer</t>
  </si>
  <si>
    <t>RMT</t>
  </si>
  <si>
    <t>Komunikasi Efektif dan Presentasi</t>
  </si>
  <si>
    <t>Nur Rahmat Dwi Riyanto, M.Kom.</t>
  </si>
  <si>
    <t>0950402</t>
  </si>
  <si>
    <t>Forensik Digital</t>
  </si>
  <si>
    <t>SJP</t>
  </si>
  <si>
    <t>Sri Joko Pamungkas, A.KS., M.Pd.I</t>
  </si>
  <si>
    <t>0212063</t>
  </si>
  <si>
    <t>Basis Data</t>
  </si>
  <si>
    <t>Tipografi</t>
  </si>
  <si>
    <t>0000012</t>
  </si>
  <si>
    <t>Manajemen Proyek Perangkat Lunak</t>
  </si>
  <si>
    <t>Agama</t>
  </si>
  <si>
    <t>ROS</t>
  </si>
  <si>
    <t>Rostika Listyaningrum, S.Si., M.Si.</t>
  </si>
  <si>
    <t>ANS</t>
  </si>
  <si>
    <t>Annisa Romadloni, S.Hum., M.A.</t>
  </si>
  <si>
    <t>OFS</t>
  </si>
  <si>
    <t>Okta Fatqiyatus Sholihah, S.H., M.H.</t>
  </si>
  <si>
    <t>0210053</t>
  </si>
  <si>
    <t>Keamanan Informasi</t>
  </si>
  <si>
    <t>Matematika Dasar</t>
  </si>
  <si>
    <t>Budaya Visual</t>
  </si>
  <si>
    <t>MZN</t>
  </si>
  <si>
    <t>Mizan Ahmad, S.Si., M.Sc.</t>
  </si>
  <si>
    <t>0000032</t>
  </si>
  <si>
    <t>Pancasila</t>
  </si>
  <si>
    <t>LAU</t>
  </si>
  <si>
    <t>Laura Sari, S.Si., M.Sc.</t>
  </si>
  <si>
    <t>NM</t>
  </si>
  <si>
    <t>Nur Muniroh, S.T., M.Kom.</t>
  </si>
  <si>
    <t>WND</t>
  </si>
  <si>
    <t>FJM</t>
  </si>
  <si>
    <t>Fajar Mahardika, S.Kom., M.Kom.</t>
  </si>
  <si>
    <t xml:space="preserve">Dr. Winda Dwi Hudhana, M.Pd. </t>
  </si>
  <si>
    <t>Pengantar Multimedia</t>
  </si>
  <si>
    <t>02302193</t>
  </si>
  <si>
    <t>0000092</t>
  </si>
  <si>
    <t>Matematika Diskrit</t>
  </si>
  <si>
    <t>0000022</t>
  </si>
  <si>
    <t>Bahasa Indonesia</t>
  </si>
  <si>
    <t>Desain UI/UX</t>
  </si>
  <si>
    <t>AGZ</t>
  </si>
  <si>
    <t>Annisa Gatri Zakinah, S.Pd, M.Kom</t>
  </si>
  <si>
    <t>0912023</t>
  </si>
  <si>
    <t>0000052</t>
  </si>
  <si>
    <t>Arsitektur dan Organisasi Komputer</t>
  </si>
  <si>
    <t>Bahasa Inggris Teknik</t>
  </si>
  <si>
    <t>MUI</t>
  </si>
  <si>
    <t>Muhammad Abdul Muin, M.Kom</t>
  </si>
  <si>
    <t>KKH</t>
  </si>
  <si>
    <t>Kukuh Muhammad, M.T.</t>
  </si>
  <si>
    <t>AMN</t>
  </si>
  <si>
    <t>Angga Maulana Purba, S.Kom.,M.Cs.</t>
  </si>
  <si>
    <t>0910032</t>
  </si>
  <si>
    <t>Kalkulus</t>
  </si>
  <si>
    <t>WAS</t>
  </si>
  <si>
    <t>Drs. Wasi Ariyadi, M.M.</t>
  </si>
  <si>
    <t>0232183</t>
  </si>
  <si>
    <t>Pemrograman Web Dasar</t>
  </si>
  <si>
    <t>Bahasa Inggris</t>
  </si>
  <si>
    <t>GNI</t>
  </si>
  <si>
    <t>Ganjar Ndaru Ikhtiagung, S.E., M.M.</t>
  </si>
  <si>
    <t>0000062</t>
  </si>
  <si>
    <t>Kewirausahaan</t>
  </si>
  <si>
    <t>Pengolahan Citra Digital</t>
  </si>
  <si>
    <t>FHT</t>
  </si>
  <si>
    <t>Farhatun Sa'diyah, S.Sy., M.H.</t>
  </si>
  <si>
    <t>AAE</t>
  </si>
  <si>
    <t>Alfarisi Akbar Efendi, S.E., M.Akt.</t>
  </si>
  <si>
    <t>0970473</t>
  </si>
  <si>
    <t>Kepemimpinan dan Manajemen Proyek</t>
  </si>
  <si>
    <t>SP</t>
  </si>
  <si>
    <t>Septi Purwaningsih, S.E., M.Ak.</t>
  </si>
  <si>
    <t>0000042</t>
  </si>
  <si>
    <t>Kewarganegaraan</t>
  </si>
  <si>
    <t>0970503</t>
  </si>
  <si>
    <t>Manajemen Bisnis</t>
  </si>
  <si>
    <t>Praktikum Pengolahan Citra Digital</t>
  </si>
  <si>
    <t>DAK</t>
  </si>
  <si>
    <t>Dyah Ayumurni Kartikasari, S.Ak., M.Ak.</t>
  </si>
  <si>
    <t>0971523</t>
  </si>
  <si>
    <t>Prak. Manajemen Bisnis</t>
  </si>
  <si>
    <t>RBT</t>
  </si>
  <si>
    <t>Rahmawan Bagus Trianto, S.Kom, M.Kom</t>
  </si>
  <si>
    <t>DHS</t>
  </si>
  <si>
    <t>Dheti Septiana, S.E., M.Ak.</t>
  </si>
  <si>
    <t>SAP</t>
  </si>
  <si>
    <t>Sasongko Adi Priyanto, S.E., M.Ak.</t>
  </si>
  <si>
    <t>0211042</t>
  </si>
  <si>
    <t>Keterampilan Komputer</t>
  </si>
  <si>
    <t>DD</t>
  </si>
  <si>
    <t>Dede Yusuf, S.Kom., M.Kom.</t>
  </si>
  <si>
    <t>NMJ</t>
  </si>
  <si>
    <t>Nurul Maghfirotul Jannah S.Ak., M.Ak.</t>
  </si>
  <si>
    <t>HFP</t>
  </si>
  <si>
    <t>Haikal Firmansah Anas Pratama, S.Pd., M.Sc.</t>
  </si>
  <si>
    <t>Videografi</t>
  </si>
  <si>
    <t>LOD</t>
  </si>
  <si>
    <t>Lodis Ramadhan, S.Ak., M.Ak.</t>
  </si>
  <si>
    <t>0210023</t>
  </si>
  <si>
    <t>Arsitektur Komputer</t>
  </si>
  <si>
    <t>FS</t>
  </si>
  <si>
    <t>Fredi Setyono, S.E., M.E.</t>
  </si>
  <si>
    <t>BGS</t>
  </si>
  <si>
    <t xml:space="preserve">Raden Bagus Bambang Sumantri, S.T., M.Kom. </t>
  </si>
  <si>
    <t>Animasi 3D</t>
  </si>
  <si>
    <t>0232163</t>
  </si>
  <si>
    <t>Desain Antarmuka Interaktif</t>
  </si>
  <si>
    <t>AMF</t>
  </si>
  <si>
    <t xml:space="preserve">Ammar Fauzan, M.Kom. </t>
  </si>
  <si>
    <t>Audiografi</t>
  </si>
  <si>
    <t>Annisa Gatri Zakinah, S.Pd, M.Kom.</t>
  </si>
  <si>
    <t>Praktikum Audiografi</t>
  </si>
  <si>
    <t xml:space="preserve">Rostika Listyaningrum, S.Si., M.Si. </t>
  </si>
  <si>
    <t>Dr. Winda Dwi Hudhana, M.Pd.</t>
  </si>
  <si>
    <t>AVI</t>
  </si>
  <si>
    <t>Anchieta Ave Avillanova, M.Pd.</t>
  </si>
  <si>
    <t>Statistik</t>
  </si>
  <si>
    <t>0232173</t>
  </si>
  <si>
    <t>Sistem Basis Data</t>
  </si>
  <si>
    <t>Rahmawan Bagus Trianto, S.Kom, M.Kom.</t>
  </si>
  <si>
    <t>Ir. Fajar Mahardika, S.Kom., M.Kom.</t>
  </si>
  <si>
    <t>Praktikum Pemrograman Berorientasi Objek</t>
  </si>
  <si>
    <t>NWR</t>
  </si>
  <si>
    <t>Nur wahyu Rahadi, S.Kom., M.Eng.</t>
  </si>
  <si>
    <t>Pemrograman Berorientasi Objek</t>
  </si>
  <si>
    <t xml:space="preserve">Annisa Gatri Zakinah, S.Pd, M.Kom. </t>
  </si>
  <si>
    <t>Aplikasi Komputer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</si>
</sst>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2.0"/>
      <color theme="1"/>
      <name val="Calibri"/>
    </font>
    <font>
      <sz val="16.0"/>
      <color theme="1"/>
      <name val="Calibri"/>
    </font>
    <font>
      <sz val="11.0"/>
      <color theme="1"/>
      <name val="Calibri"/>
    </font>
    <font>
      <sz val="15.0"/>
      <color theme="1"/>
      <name val="Calibri"/>
    </font>
    <font>
      <b/>
      <sz val="12.0"/>
      <color theme="1"/>
      <name val="Calibri"/>
    </font>
    <font>
      <sz val="11.0"/>
      <color theme="1"/>
      <name val="Arial"/>
    </font>
    <font>
      <sz val="20.0"/>
      <color theme="1"/>
      <name val="Calibri"/>
    </font>
    <font>
      <b/>
      <sz val="15.0"/>
      <color theme="1"/>
      <name val="Arial"/>
    </font>
    <font>
      <b/>
      <sz val="12.0"/>
      <color theme="1"/>
      <name val="Arial"/>
    </font>
    <font>
      <sz val="15.0"/>
      <color theme="1"/>
      <name val="Arial"/>
    </font>
    <font>
      <u/>
      <sz val="11.0"/>
      <color theme="1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1" numFmtId="0" xfId="0" applyAlignment="1" applyBorder="1" applyFill="1" applyFont="1">
      <alignment shrinkToFit="0" wrapText="1"/>
    </xf>
    <xf borderId="2" fillId="2" fontId="2" numFmtId="0" xfId="0" applyAlignment="1" applyBorder="1" applyFill="1" applyFont="1">
      <alignment shrinkToFit="0" wrapText="1"/>
    </xf>
    <xf borderId="1" fillId="2" fontId="3" numFmtId="0" xfId="0" applyAlignment="1" applyBorder="1" applyFill="1" applyFont="1">
      <alignment shrinkToFit="0" wrapText="1"/>
    </xf>
    <xf borderId="1" fillId="2" fontId="2" numFmtId="0" xfId="0" applyAlignment="1" applyBorder="1" applyFill="1" applyFont="1">
      <alignment shrinkToFit="0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0" fillId="0" fontId="3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shrinkToFit="0" vertical="center" wrapText="1"/>
    </xf>
    <xf borderId="2" fillId="3" fontId="3" numFmtId="0" xfId="0" applyAlignment="1" applyBorder="1" applyFill="1" applyFont="1">
      <alignment horizontal="center" shrinkToFit="0" wrapText="1"/>
    </xf>
    <xf borderId="2" fillId="3" fontId="1" numFmtId="0" xfId="0" applyAlignment="1" applyBorder="1" applyFill="1" applyFont="1">
      <alignment vertical="center"/>
    </xf>
    <xf borderId="2" fillId="3" fontId="1" numFmtId="0" xfId="0" applyAlignment="1" applyBorder="1" applyFill="1" applyFont="1">
      <alignment shrinkToFit="0" wrapText="1"/>
    </xf>
    <xf borderId="2" fillId="3" fontId="3" numFmtId="0" xfId="0" applyAlignment="1" applyBorder="1" applyFill="1" applyFont="1">
      <alignment shrinkToFit="0" wrapText="1"/>
    </xf>
    <xf borderId="2" fillId="3" fontId="4" numFmtId="0" xfId="0" applyAlignment="1" applyBorder="1" applyFill="1" applyFont="1">
      <alignment horizontal="center" readingOrder="0" shrinkToFit="0" wrapText="1"/>
    </xf>
    <xf borderId="2" fillId="3" fontId="1" numFmtId="0" xfId="0" applyAlignment="1" applyBorder="1" applyFill="1" applyFont="1">
      <alignment horizontal="center" readingOrder="0" shrinkToFit="0" wrapText="1"/>
    </xf>
    <xf borderId="2" fillId="3" fontId="5" numFmtId="0" xfId="0" applyAlignment="1" applyBorder="1" applyFill="1" applyFont="1">
      <alignment horizontal="center" readingOrder="0" shrinkToFit="0" wrapText="1"/>
    </xf>
    <xf borderId="2" fillId="0" fontId="1" numFmtId="0" xfId="0" applyAlignment="1" applyBorder="1" applyFont="1">
      <alignment shrinkToFit="0" wrapText="1"/>
    </xf>
    <xf quotePrefix="1" borderId="2" fillId="0" fontId="6" numFmtId="0" xfId="0" applyAlignment="1" applyBorder="1" applyFont="1">
      <alignment horizontal="center" shrinkToFit="0" wrapText="1"/>
    </xf>
    <xf borderId="2" fillId="4" fontId="1" numFmtId="0" xfId="0" applyAlignment="1" applyBorder="1" applyFill="1" applyFont="1">
      <alignment shrinkToFit="0" wrapText="1"/>
    </xf>
    <xf borderId="2" fillId="3" fontId="5" numFmtId="0" xfId="0" applyAlignment="1" applyBorder="1" applyFill="1" applyFon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2" fillId="3" fontId="7" numFmtId="0" xfId="0" applyAlignment="1" applyBorder="1" applyFill="1" applyFont="1">
      <alignment horizontal="center" shrinkToFit="0" wrapText="1"/>
    </xf>
    <xf borderId="3" fillId="4" fontId="1" numFmtId="0" xfId="0" applyAlignment="1" applyBorder="1" applyFill="1" applyFont="1">
      <alignment shrinkToFit="0" wrapText="1"/>
    </xf>
    <xf borderId="2" fillId="0" fontId="3" numFmtId="0" xfId="0" applyAlignment="1" applyBorder="1" applyFont="1">
      <alignment shrinkToFit="0" wrapText="1"/>
    </xf>
    <xf borderId="2" fillId="0" fontId="1" numFmtId="0" xfId="0" applyAlignment="1" applyBorder="1" applyFont="1">
      <alignment horizontal="center" shrinkToFit="0" vertical="center" wrapText="1"/>
    </xf>
    <xf quotePrefix="1" borderId="2" fillId="0" fontId="3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center" shrinkToFit="0" wrapText="1"/>
    </xf>
    <xf quotePrefix="1" borderId="2" fillId="4" fontId="3" numFmtId="0" xfId="0" applyAlignment="1" applyBorder="1" applyFill="1" applyFont="1">
      <alignment horizontal="center" shrinkToFit="0" wrapText="1"/>
    </xf>
    <xf borderId="2" fillId="4" fontId="3" numFmtId="0" xfId="0" applyAlignment="1" applyBorder="1" applyFill="1" applyFont="1">
      <alignment shrinkToFit="0" wrapText="1"/>
    </xf>
    <xf borderId="2" fillId="4" fontId="3" numFmtId="0" xfId="0" applyAlignment="1" applyBorder="1" applyFill="1" applyFont="1">
      <alignment horizontal="center" shrinkToFit="0" wrapText="1"/>
    </xf>
    <xf borderId="2" fillId="4" fontId="4" numFmtId="0" xfId="0" applyAlignment="1" applyBorder="1" applyFill="1" applyFont="1">
      <alignment horizontal="center" shrinkToFit="0" wrapText="1"/>
    </xf>
    <xf borderId="2" fillId="0" fontId="3" numFmtId="0" xfId="0" applyAlignment="1" applyBorder="1" applyFont="1">
      <alignment shrinkToFit="0" vertical="center" wrapText="1"/>
    </xf>
    <xf borderId="2" fillId="5" fontId="1" numFmtId="0" xfId="0" applyAlignment="1" applyBorder="1" applyFill="1" applyFont="1">
      <alignment horizontal="center" shrinkToFit="0" wrapText="1"/>
    </xf>
    <xf borderId="2" fillId="5" fontId="1" numFmtId="0" xfId="0" applyAlignment="1" applyBorder="1" applyFill="1" applyFont="1">
      <alignment shrinkToFit="0" wrapText="1"/>
    </xf>
    <xf borderId="2" fillId="5" fontId="3" numFmtId="0" xfId="0" applyAlignment="1" applyBorder="1" applyFill="1" applyFont="1">
      <alignment shrinkToFit="0" wrapText="1"/>
    </xf>
    <xf quotePrefix="1"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5" fontId="1" numFmtId="0" xfId="0" applyAlignment="1" applyBorder="1" applyFill="1" applyFont="1">
      <alignment horizontal="right" shrinkToFit="0" wrapText="1"/>
    </xf>
    <xf quotePrefix="1" borderId="2" fillId="5" fontId="3" numFmtId="0" xfId="0" applyAlignment="1" applyBorder="1" applyFill="1" applyFont="1">
      <alignment horizontal="center" shrinkToFit="0" wrapText="1"/>
    </xf>
    <xf quotePrefix="1" borderId="2" fillId="4" fontId="3" numFmtId="0" xfId="0" applyAlignment="1" applyBorder="1" applyFill="1" applyFont="1">
      <alignment shrinkToFit="0" wrapText="1"/>
    </xf>
    <xf quotePrefix="1" borderId="2" fillId="0" fontId="3" numFmtId="0" xfId="0" applyAlignment="1" applyBorder="1" applyFont="1">
      <alignment shrinkToFit="0" vertical="center" wrapText="1"/>
    </xf>
    <xf borderId="2" fillId="3" fontId="4" numFmtId="0" xfId="0" applyAlignment="1" applyBorder="1" applyFill="1" applyFont="1">
      <alignment horizontal="center" shrinkToFit="0" wrapText="1"/>
    </xf>
    <xf borderId="2" fillId="0" fontId="3" numFmtId="0" xfId="0" applyBorder="1" applyFont="1"/>
    <xf borderId="2" fillId="5" fontId="3" numFmtId="0" xfId="0" applyAlignment="1" applyBorder="1" applyFill="1" applyFont="1">
      <alignment horizontal="center" shrinkToFit="0" wrapText="1"/>
    </xf>
    <xf borderId="2" fillId="3" fontId="8" numFmtId="0" xfId="0" applyAlignment="1" applyBorder="1" applyFill="1" applyFont="1">
      <alignment horizontal="center" shrinkToFit="0" wrapText="1"/>
    </xf>
    <xf borderId="2" fillId="3" fontId="9" numFmtId="0" xfId="0" applyAlignment="1" applyBorder="1" applyFill="1" applyFont="1">
      <alignment horizontal="center" shrinkToFit="0" wrapText="1"/>
    </xf>
    <xf borderId="2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horizontal="center" shrinkToFit="0" wrapText="1"/>
    </xf>
    <xf borderId="2" fillId="0" fontId="10" numFmtId="0" xfId="0" applyAlignment="1" applyBorder="1" applyFont="1">
      <alignment horizontal="center" shrinkToFit="0" wrapText="1"/>
    </xf>
    <xf borderId="2" fillId="3" fontId="11" numFmtId="0" xfId="0" applyAlignment="1" applyBorder="1" applyFill="1" applyFont="1">
      <alignment shrinkToFit="0" wrapText="1"/>
    </xf>
    <xf borderId="2" fillId="3" fontId="6" numFmtId="0" xfId="0" applyAlignment="1" applyBorder="1" applyFill="1" applyFont="1">
      <alignment horizontal="center" shrinkToFit="0" wrapText="1"/>
    </xf>
    <xf borderId="2" fillId="3" fontId="6" numFmtId="0" xfId="0" applyAlignment="1" applyBorder="1" applyFill="1" applyFont="1">
      <alignment vertical="center"/>
    </xf>
    <xf quotePrefix="1" borderId="2" fillId="0" fontId="1" numFmtId="0" xfId="0" applyAlignment="1" applyBorder="1" applyFont="1">
      <alignment horizontal="center" shrinkToFit="0" wrapText="1"/>
    </xf>
    <xf borderId="3" fillId="5" fontId="3" numFmtId="0" xfId="0" applyAlignment="1" applyBorder="1" applyFill="1" applyFont="1">
      <alignment shrinkToFit="0" wrapText="1"/>
    </xf>
    <xf borderId="4" fillId="0" fontId="3" numFmtId="0" xfId="0" applyBorder="1" applyFont="1"/>
    <xf borderId="4" fillId="0" fontId="3" numFmtId="0" xfId="0" applyAlignment="1" applyBorder="1" applyFont="1">
      <alignment shrinkToFit="0" wrapText="1"/>
    </xf>
    <xf borderId="4" fillId="0" fontId="6" numFmtId="0" xfId="0" applyAlignment="1" applyBorder="1" applyFont="1">
      <alignment shrinkToFit="0" wrapText="1"/>
    </xf>
    <xf quotePrefix="1" borderId="4" fillId="0" fontId="3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 shrinkToFit="0" wrapText="1"/>
    </xf>
    <xf borderId="1" fillId="4" fontId="3" numFmtId="0" xfId="0" applyAlignment="1" applyBorder="1" applyFill="1" applyFont="1">
      <alignment horizontal="center" shrinkToFit="0" wrapText="1"/>
    </xf>
    <xf borderId="4" fillId="0" fontId="10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shrinkToFit="0" wrapText="1"/>
    </xf>
    <xf borderId="5" fillId="0" fontId="7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2" fillId="0" fontId="1" numFmtId="0" xfId="0" applyBorder="1" applyFont="1"/>
    <xf borderId="2" fillId="3" fontId="1" numFmtId="0" xfId="0" applyAlignment="1" applyBorder="1" applyFill="1" applyFont="1">
      <alignment horizontal="left" shrinkToFit="0" wrapText="1"/>
    </xf>
    <xf borderId="2" fillId="4" fontId="1" numFmtId="0" xfId="0" applyAlignment="1" applyBorder="1" applyFill="1" applyFont="1">
      <alignment horizontal="center" shrinkToFit="0" wrapText="1"/>
    </xf>
    <xf borderId="4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vertical="center"/>
    </xf>
    <xf borderId="0" fillId="0" fontId="5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m.sc/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6.14"/>
    <col customWidth="1" min="3" max="3" width="43.29"/>
    <col customWidth="1" min="4" max="4" width="10.43"/>
    <col customWidth="1" min="5" max="5" width="29.43"/>
    <col customWidth="1" min="6" max="6" width="7.86"/>
    <col customWidth="1" min="7" max="7" width="8.43"/>
    <col customWidth="1" min="8" max="8" width="6.43"/>
    <col customWidth="1" min="9" max="9" width="6.0"/>
    <col customWidth="1" min="10" max="10" width="15.14"/>
    <col customWidth="1" min="11" max="12" width="6.0"/>
    <col customWidth="1" min="13" max="27" width="9.14"/>
  </cols>
  <sheetData>
    <row r="1" ht="15.75" customHeight="1">
      <c r="A1" s="1" t="s">
        <v>0</v>
      </c>
      <c r="B1" s="1" t="s">
        <v>1</v>
      </c>
      <c r="C1" s="1" t="s">
        <v>2</v>
      </c>
      <c r="D1" s="4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7" t="s">
        <v>8</v>
      </c>
      <c r="K1" s="1" t="s">
        <v>9</v>
      </c>
      <c r="L1" s="1" t="s">
        <v>10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ht="15.75" customHeight="1">
      <c r="A2" s="12">
        <v>1.0</v>
      </c>
      <c r="B2" s="12" t="s">
        <v>13</v>
      </c>
      <c r="C2" s="16" t="s">
        <v>16</v>
      </c>
      <c r="D2" s="14"/>
      <c r="E2" s="16"/>
      <c r="F2" s="16"/>
      <c r="G2" s="16"/>
      <c r="H2" s="16"/>
      <c r="I2" s="16"/>
      <c r="J2" s="19" t="s">
        <v>20</v>
      </c>
      <c r="K2" s="12">
        <v>10.0</v>
      </c>
      <c r="L2" s="12">
        <v>10.0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15.75" customHeight="1">
      <c r="A3" s="21"/>
      <c r="B3" s="21"/>
      <c r="C3" s="21"/>
      <c r="D3" s="22" t="s">
        <v>23</v>
      </c>
      <c r="E3" s="23" t="s">
        <v>24</v>
      </c>
      <c r="F3" s="25">
        <v>2.0</v>
      </c>
      <c r="G3" s="25">
        <v>2.0</v>
      </c>
      <c r="H3" s="25" t="s">
        <v>25</v>
      </c>
      <c r="I3" s="25" t="s">
        <v>20</v>
      </c>
      <c r="J3" s="25"/>
      <c r="K3" s="25">
        <v>2.0</v>
      </c>
      <c r="L3" s="25">
        <v>2.0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15.75" customHeight="1">
      <c r="A4" s="21"/>
      <c r="B4" s="21"/>
      <c r="C4" s="9"/>
      <c r="D4" s="32"/>
      <c r="E4" s="21"/>
      <c r="F4" s="25">
        <v>2.0</v>
      </c>
      <c r="G4" s="25">
        <v>2.0</v>
      </c>
      <c r="H4" s="25" t="s">
        <v>32</v>
      </c>
      <c r="I4" s="25" t="s">
        <v>20</v>
      </c>
      <c r="J4" s="25"/>
      <c r="K4" s="25">
        <v>2.0</v>
      </c>
      <c r="L4" s="25">
        <v>2.0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15.75" customHeight="1">
      <c r="A5" s="21"/>
      <c r="B5" s="21"/>
      <c r="C5" s="21"/>
      <c r="D5" s="32"/>
      <c r="E5" s="21"/>
      <c r="F5" s="25">
        <v>2.0</v>
      </c>
      <c r="G5" s="25">
        <v>2.0</v>
      </c>
      <c r="H5" s="25" t="s">
        <v>40</v>
      </c>
      <c r="I5" s="25" t="s">
        <v>20</v>
      </c>
      <c r="J5" s="25"/>
      <c r="K5" s="25">
        <v>2.0</v>
      </c>
      <c r="L5" s="25">
        <v>2.0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15.75" customHeight="1">
      <c r="A6" s="21"/>
      <c r="B6" s="21"/>
      <c r="C6" s="21"/>
      <c r="D6" s="32"/>
      <c r="E6" s="21"/>
      <c r="F6" s="25">
        <v>2.0</v>
      </c>
      <c r="G6" s="25">
        <v>2.0</v>
      </c>
      <c r="H6" s="25" t="s">
        <v>45</v>
      </c>
      <c r="I6" s="25" t="s">
        <v>20</v>
      </c>
      <c r="J6" s="25"/>
      <c r="K6" s="25">
        <v>2.0</v>
      </c>
      <c r="L6" s="25">
        <v>2.0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15.75" customHeight="1">
      <c r="A7" s="12">
        <v>2.0</v>
      </c>
      <c r="B7" s="12" t="s">
        <v>51</v>
      </c>
      <c r="C7" s="16" t="s">
        <v>52</v>
      </c>
      <c r="D7" s="14"/>
      <c r="E7" s="16"/>
      <c r="F7" s="16"/>
      <c r="G7" s="16"/>
      <c r="H7" s="16"/>
      <c r="I7" s="16"/>
      <c r="J7" s="19" t="s">
        <v>20</v>
      </c>
      <c r="K7" s="12">
        <v>12.0</v>
      </c>
      <c r="L7" s="12">
        <v>20.0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15.75" customHeight="1">
      <c r="A8" s="21"/>
      <c r="B8" s="21"/>
      <c r="C8" s="21"/>
      <c r="D8" s="30" t="s">
        <v>58</v>
      </c>
      <c r="E8" s="21" t="s">
        <v>59</v>
      </c>
      <c r="F8" s="25">
        <v>3.0</v>
      </c>
      <c r="G8" s="25">
        <v>5.0</v>
      </c>
      <c r="H8" s="25" t="s">
        <v>25</v>
      </c>
      <c r="I8" s="25" t="s">
        <v>20</v>
      </c>
      <c r="J8" s="25"/>
      <c r="K8" s="25">
        <v>3.0</v>
      </c>
      <c r="L8" s="25">
        <v>5.0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15.75" customHeight="1">
      <c r="A9" s="21"/>
      <c r="B9" s="21"/>
      <c r="C9" s="9"/>
      <c r="D9" s="32"/>
      <c r="E9" s="21"/>
      <c r="F9" s="25">
        <v>3.0</v>
      </c>
      <c r="G9" s="25">
        <v>5.0</v>
      </c>
      <c r="H9" s="25" t="s">
        <v>32</v>
      </c>
      <c r="I9" s="25" t="s">
        <v>20</v>
      </c>
      <c r="J9" s="25"/>
      <c r="K9" s="25">
        <v>3.0</v>
      </c>
      <c r="L9" s="25">
        <v>5.0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15.75" customHeight="1">
      <c r="A10" s="21"/>
      <c r="B10" s="21"/>
      <c r="C10" s="21"/>
      <c r="D10" s="32"/>
      <c r="E10" s="21"/>
      <c r="F10" s="25">
        <v>3.0</v>
      </c>
      <c r="G10" s="25">
        <v>5.0</v>
      </c>
      <c r="H10" s="25" t="s">
        <v>40</v>
      </c>
      <c r="I10" s="25" t="s">
        <v>20</v>
      </c>
      <c r="J10" s="25"/>
      <c r="K10" s="25">
        <v>3.0</v>
      </c>
      <c r="L10" s="25">
        <v>5.0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15.75" customHeight="1">
      <c r="A11" s="21"/>
      <c r="B11" s="21"/>
      <c r="C11" s="21"/>
      <c r="D11" s="32"/>
      <c r="E11" s="21"/>
      <c r="F11" s="25">
        <v>3.0</v>
      </c>
      <c r="G11" s="25">
        <v>5.0</v>
      </c>
      <c r="H11" s="25" t="s">
        <v>45</v>
      </c>
      <c r="I11" s="25" t="s">
        <v>20</v>
      </c>
      <c r="J11" s="25"/>
      <c r="K11" s="25">
        <v>3.0</v>
      </c>
      <c r="L11" s="25">
        <v>5.0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15.75" customHeight="1">
      <c r="A12" s="12">
        <v>3.0</v>
      </c>
      <c r="B12" s="12" t="s">
        <v>77</v>
      </c>
      <c r="C12" s="16" t="s">
        <v>78</v>
      </c>
      <c r="D12" s="14"/>
      <c r="E12" s="16"/>
      <c r="F12" s="16"/>
      <c r="G12" s="16"/>
      <c r="H12" s="16"/>
      <c r="I12" s="16"/>
      <c r="J12" s="19" t="s">
        <v>20</v>
      </c>
      <c r="K12" s="12">
        <v>12.0</v>
      </c>
      <c r="L12" s="12">
        <v>24.0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15.75" customHeight="1">
      <c r="A13" s="21"/>
      <c r="B13" s="21"/>
      <c r="C13" s="21"/>
      <c r="D13" s="42" t="s">
        <v>89</v>
      </c>
      <c r="E13" s="23" t="s">
        <v>90</v>
      </c>
      <c r="F13" s="25">
        <v>3.0</v>
      </c>
      <c r="G13" s="25">
        <v>5.0</v>
      </c>
      <c r="H13" s="25" t="s">
        <v>92</v>
      </c>
      <c r="I13" s="25" t="s">
        <v>20</v>
      </c>
      <c r="J13" s="25"/>
      <c r="K13" s="25">
        <v>3.0</v>
      </c>
      <c r="L13" s="25">
        <v>6.0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15.75" customHeight="1">
      <c r="A14" s="21"/>
      <c r="B14" s="21"/>
      <c r="C14" s="9"/>
      <c r="D14" s="43"/>
      <c r="E14" s="31"/>
      <c r="F14" s="25">
        <v>3.0</v>
      </c>
      <c r="G14" s="25">
        <v>5.0</v>
      </c>
      <c r="H14" s="25" t="s">
        <v>98</v>
      </c>
      <c r="I14" s="25" t="s">
        <v>20</v>
      </c>
      <c r="J14" s="25"/>
      <c r="K14" s="25">
        <v>3.0</v>
      </c>
      <c r="L14" s="25">
        <v>6.0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ht="15.75" customHeight="1">
      <c r="A15" s="21"/>
      <c r="B15" s="21"/>
      <c r="C15" s="21"/>
      <c r="D15" s="32"/>
      <c r="E15" s="21"/>
      <c r="F15" s="25">
        <v>3.0</v>
      </c>
      <c r="G15" s="25">
        <v>5.0</v>
      </c>
      <c r="H15" s="25" t="s">
        <v>102</v>
      </c>
      <c r="I15" s="25" t="s">
        <v>20</v>
      </c>
      <c r="J15" s="25"/>
      <c r="K15" s="25">
        <v>3.0</v>
      </c>
      <c r="L15" s="25">
        <v>6.0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ht="15.75" customHeight="1">
      <c r="A16" s="21"/>
      <c r="B16" s="21"/>
      <c r="C16" s="21"/>
      <c r="D16" s="32"/>
      <c r="E16" s="21"/>
      <c r="F16" s="25">
        <v>3.0</v>
      </c>
      <c r="G16" s="25">
        <v>5.0</v>
      </c>
      <c r="H16" s="25" t="s">
        <v>106</v>
      </c>
      <c r="I16" s="25" t="s">
        <v>20</v>
      </c>
      <c r="J16" s="25"/>
      <c r="K16" s="25">
        <v>3.0</v>
      </c>
      <c r="L16" s="25">
        <v>6.0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ht="15.75" customHeight="1">
      <c r="A17" s="12">
        <v>4.0</v>
      </c>
      <c r="B17" s="12" t="s">
        <v>109</v>
      </c>
      <c r="C17" s="16" t="s">
        <v>110</v>
      </c>
      <c r="D17" s="14"/>
      <c r="E17" s="16"/>
      <c r="F17" s="16"/>
      <c r="G17" s="16"/>
      <c r="H17" s="16"/>
      <c r="I17" s="16"/>
      <c r="J17" s="19" t="s">
        <v>20</v>
      </c>
      <c r="K17" s="12">
        <v>14.0</v>
      </c>
      <c r="L17" s="12">
        <v>6.0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ht="15.75" customHeight="1">
      <c r="A18" s="21"/>
      <c r="B18" s="21"/>
      <c r="C18" s="21"/>
      <c r="D18" s="30" t="s">
        <v>115</v>
      </c>
      <c r="E18" s="23" t="s">
        <v>38</v>
      </c>
      <c r="F18" s="25">
        <v>2.0</v>
      </c>
      <c r="G18" s="25">
        <v>2.0</v>
      </c>
      <c r="H18" s="25" t="s">
        <v>92</v>
      </c>
      <c r="I18" s="25" t="s">
        <v>20</v>
      </c>
      <c r="J18" s="25"/>
      <c r="K18" s="25">
        <v>2.0</v>
      </c>
      <c r="L18" s="25">
        <v>2.0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ht="15.75" customHeight="1">
      <c r="A19" s="21"/>
      <c r="B19" s="21"/>
      <c r="C19" s="9"/>
      <c r="D19" s="43"/>
      <c r="E19" s="21"/>
      <c r="F19" s="25">
        <v>2.0</v>
      </c>
      <c r="G19" s="25">
        <v>2.0</v>
      </c>
      <c r="H19" s="25" t="s">
        <v>98</v>
      </c>
      <c r="I19" s="25" t="s">
        <v>20</v>
      </c>
      <c r="J19" s="25"/>
      <c r="K19" s="25">
        <v>2.0</v>
      </c>
      <c r="L19" s="25">
        <v>2.0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ht="15.75" customHeight="1">
      <c r="A20" s="21"/>
      <c r="B20" s="21"/>
      <c r="C20" s="21"/>
      <c r="D20" s="32"/>
      <c r="E20" s="21"/>
      <c r="F20" s="25">
        <v>2.0</v>
      </c>
      <c r="G20" s="25">
        <v>2.0</v>
      </c>
      <c r="H20" s="25" t="s">
        <v>102</v>
      </c>
      <c r="I20" s="25" t="s">
        <v>20</v>
      </c>
      <c r="J20" s="25"/>
      <c r="K20" s="25">
        <v>2.0</v>
      </c>
      <c r="L20" s="25">
        <v>2.0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15.75" customHeight="1">
      <c r="A21" s="21"/>
      <c r="B21" s="21"/>
      <c r="C21" s="21"/>
      <c r="D21" s="32"/>
      <c r="E21" s="31"/>
      <c r="F21" s="25">
        <v>2.0</v>
      </c>
      <c r="G21" s="25">
        <v>2.0</v>
      </c>
      <c r="H21" s="25" t="s">
        <v>106</v>
      </c>
      <c r="I21" s="25" t="s">
        <v>20</v>
      </c>
      <c r="J21" s="25"/>
      <c r="K21" s="25">
        <v>2.0</v>
      </c>
      <c r="L21" s="25">
        <v>2.0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15.75" customHeight="1">
      <c r="A22" s="12">
        <v>5.0</v>
      </c>
      <c r="B22" s="12" t="s">
        <v>135</v>
      </c>
      <c r="C22" s="16" t="s">
        <v>136</v>
      </c>
      <c r="D22" s="14"/>
      <c r="E22" s="16"/>
      <c r="F22" s="16"/>
      <c r="G22" s="16"/>
      <c r="H22" s="16"/>
      <c r="I22" s="16"/>
      <c r="J22" s="19" t="s">
        <v>20</v>
      </c>
      <c r="K22" s="12">
        <v>15.0</v>
      </c>
      <c r="L22" s="12">
        <v>25.0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5.75" customHeight="1">
      <c r="A23" s="21"/>
      <c r="B23" s="21"/>
      <c r="C23" s="21"/>
      <c r="D23" s="30" t="s">
        <v>142</v>
      </c>
      <c r="E23" s="21" t="s">
        <v>144</v>
      </c>
      <c r="F23" s="25">
        <v>3.0</v>
      </c>
      <c r="G23" s="25">
        <v>5.0</v>
      </c>
      <c r="H23" s="25" t="s">
        <v>92</v>
      </c>
      <c r="I23" s="25" t="s">
        <v>20</v>
      </c>
      <c r="J23" s="25"/>
      <c r="K23" s="25">
        <v>3.0</v>
      </c>
      <c r="L23" s="25">
        <v>5.0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15.75" customHeight="1">
      <c r="A24" s="21"/>
      <c r="B24" s="21"/>
      <c r="C24" s="21"/>
      <c r="D24" s="43"/>
      <c r="E24" s="31"/>
      <c r="F24" s="25">
        <v>3.0</v>
      </c>
      <c r="G24" s="25">
        <v>5.0</v>
      </c>
      <c r="H24" s="25" t="s">
        <v>98</v>
      </c>
      <c r="I24" s="25" t="s">
        <v>20</v>
      </c>
      <c r="J24" s="25"/>
      <c r="K24" s="25">
        <v>3.0</v>
      </c>
      <c r="L24" s="25">
        <v>5.0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15.75" customHeight="1">
      <c r="A25" s="21"/>
      <c r="B25" s="21"/>
      <c r="C25" s="21"/>
      <c r="D25" s="43"/>
      <c r="E25" s="31"/>
      <c r="F25" s="25">
        <v>3.0</v>
      </c>
      <c r="G25" s="25">
        <v>5.0</v>
      </c>
      <c r="H25" s="25" t="s">
        <v>102</v>
      </c>
      <c r="I25" s="25" t="s">
        <v>20</v>
      </c>
      <c r="J25" s="25"/>
      <c r="K25" s="25">
        <v>3.0</v>
      </c>
      <c r="L25" s="25">
        <v>5.0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15.75" customHeight="1">
      <c r="A26" s="21"/>
      <c r="B26" s="21"/>
      <c r="C26" s="21"/>
      <c r="D26" s="32"/>
      <c r="E26" s="21"/>
      <c r="F26" s="25">
        <v>3.0</v>
      </c>
      <c r="G26" s="25">
        <v>5.0</v>
      </c>
      <c r="H26" s="25" t="s">
        <v>106</v>
      </c>
      <c r="I26" s="25" t="s">
        <v>20</v>
      </c>
      <c r="J26" s="25"/>
      <c r="K26" s="25">
        <v>3.0</v>
      </c>
      <c r="L26" s="25">
        <v>5.0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15.75" customHeight="1">
      <c r="A27" s="12">
        <v>6.0</v>
      </c>
      <c r="B27" s="12" t="s">
        <v>160</v>
      </c>
      <c r="C27" s="16" t="s">
        <v>162</v>
      </c>
      <c r="D27" s="14"/>
      <c r="E27" s="16"/>
      <c r="F27" s="16"/>
      <c r="G27" s="16"/>
      <c r="H27" s="16"/>
      <c r="I27" s="16"/>
      <c r="J27" s="12"/>
      <c r="K27" s="12">
        <v>12.0</v>
      </c>
      <c r="L27" s="12">
        <v>20.0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ht="15.75" customHeight="1">
      <c r="A28" s="21"/>
      <c r="B28" s="21"/>
      <c r="C28" s="9"/>
      <c r="D28" s="30" t="s">
        <v>167</v>
      </c>
      <c r="E28" s="23" t="s">
        <v>168</v>
      </c>
      <c r="F28" s="25">
        <v>3.0</v>
      </c>
      <c r="G28" s="25">
        <v>5.0</v>
      </c>
      <c r="H28" s="25" t="s">
        <v>32</v>
      </c>
      <c r="I28" s="25" t="s">
        <v>20</v>
      </c>
      <c r="J28" s="25"/>
      <c r="K28" s="25">
        <v>3.0</v>
      </c>
      <c r="L28" s="25">
        <v>5.0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ht="15.75" customHeight="1">
      <c r="A29" s="21"/>
      <c r="B29" s="21"/>
      <c r="C29" s="21"/>
      <c r="D29" s="32"/>
      <c r="E29" s="21"/>
      <c r="F29" s="25">
        <v>3.0</v>
      </c>
      <c r="G29" s="25">
        <v>5.0</v>
      </c>
      <c r="H29" s="25" t="s">
        <v>40</v>
      </c>
      <c r="I29" s="25" t="s">
        <v>20</v>
      </c>
      <c r="J29" s="25"/>
      <c r="K29" s="25">
        <v>3.0</v>
      </c>
      <c r="L29" s="25">
        <v>5.0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ht="15.75" customHeight="1">
      <c r="A30" s="21"/>
      <c r="B30" s="21"/>
      <c r="C30" s="21"/>
      <c r="D30" s="32"/>
      <c r="E30" s="21"/>
      <c r="F30" s="25">
        <v>3.0</v>
      </c>
      <c r="G30" s="25">
        <v>5.0</v>
      </c>
      <c r="H30" s="25" t="s">
        <v>45</v>
      </c>
      <c r="I30" s="25" t="s">
        <v>20</v>
      </c>
      <c r="J30" s="25"/>
      <c r="K30" s="25">
        <v>3.0</v>
      </c>
      <c r="L30" s="25">
        <v>5.0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ht="15.75" customHeight="1">
      <c r="A31" s="12">
        <v>7.0</v>
      </c>
      <c r="B31" s="12" t="s">
        <v>173</v>
      </c>
      <c r="C31" s="16" t="s">
        <v>174</v>
      </c>
      <c r="D31" s="14"/>
      <c r="E31" s="16"/>
      <c r="F31" s="16"/>
      <c r="G31" s="16"/>
      <c r="H31" s="16"/>
      <c r="I31" s="16"/>
      <c r="J31" s="19" t="s">
        <v>20</v>
      </c>
      <c r="K31" s="12">
        <v>15.0</v>
      </c>
      <c r="L31" s="12">
        <v>15.0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ht="15.75" customHeight="1">
      <c r="A32" s="21"/>
      <c r="B32" s="21"/>
      <c r="C32" s="21"/>
      <c r="D32" s="30" t="s">
        <v>179</v>
      </c>
      <c r="E32" s="21" t="s">
        <v>181</v>
      </c>
      <c r="F32" s="25">
        <v>3.0</v>
      </c>
      <c r="G32" s="25">
        <v>3.0</v>
      </c>
      <c r="H32" s="25" t="s">
        <v>25</v>
      </c>
      <c r="I32" s="25" t="s">
        <v>20</v>
      </c>
      <c r="J32" s="25"/>
      <c r="K32" s="25">
        <v>3.0</v>
      </c>
      <c r="L32" s="25">
        <v>3.0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ht="15.75" customHeight="1">
      <c r="A33" s="21"/>
      <c r="B33" s="21"/>
      <c r="C33" s="9"/>
      <c r="D33" s="32"/>
      <c r="E33" s="21"/>
      <c r="F33" s="25">
        <v>3.0</v>
      </c>
      <c r="G33" s="25">
        <v>3.0</v>
      </c>
      <c r="H33" s="25" t="s">
        <v>32</v>
      </c>
      <c r="I33" s="25" t="s">
        <v>20</v>
      </c>
      <c r="J33" s="25"/>
      <c r="K33" s="25">
        <v>3.0</v>
      </c>
      <c r="L33" s="25">
        <v>3.0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ht="15.75" customHeight="1">
      <c r="A34" s="21"/>
      <c r="B34" s="21"/>
      <c r="C34" s="21"/>
      <c r="D34" s="32"/>
      <c r="E34" s="31"/>
      <c r="F34" s="25">
        <v>3.0</v>
      </c>
      <c r="G34" s="25">
        <v>3.0</v>
      </c>
      <c r="H34" s="25" t="s">
        <v>40</v>
      </c>
      <c r="I34" s="25" t="s">
        <v>20</v>
      </c>
      <c r="J34" s="25"/>
      <c r="K34" s="25">
        <v>3.0</v>
      </c>
      <c r="L34" s="25">
        <v>3.0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ht="15.75" customHeight="1">
      <c r="A35" s="12">
        <v>8.0</v>
      </c>
      <c r="B35" s="12" t="s">
        <v>187</v>
      </c>
      <c r="C35" s="16" t="s">
        <v>188</v>
      </c>
      <c r="D35" s="14"/>
      <c r="E35" s="16"/>
      <c r="F35" s="16"/>
      <c r="G35" s="16"/>
      <c r="H35" s="16"/>
      <c r="I35" s="16"/>
      <c r="J35" s="19" t="s">
        <v>20</v>
      </c>
      <c r="K35" s="12">
        <v>15.0</v>
      </c>
      <c r="L35" s="12">
        <v>15.0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ht="15.75" customHeight="1">
      <c r="A36" s="21"/>
      <c r="B36" s="21"/>
      <c r="C36" s="21"/>
      <c r="D36" s="30" t="s">
        <v>179</v>
      </c>
      <c r="E36" s="21" t="s">
        <v>181</v>
      </c>
      <c r="F36" s="25">
        <v>3.0</v>
      </c>
      <c r="G36" s="25">
        <v>3.0</v>
      </c>
      <c r="H36" s="25" t="s">
        <v>45</v>
      </c>
      <c r="I36" s="25" t="s">
        <v>20</v>
      </c>
      <c r="J36" s="25"/>
      <c r="K36" s="25">
        <v>3.0</v>
      </c>
      <c r="L36" s="25">
        <v>3.0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ht="15.75" customHeight="1">
      <c r="A37" s="12">
        <v>9.0</v>
      </c>
      <c r="B37" s="12" t="s">
        <v>192</v>
      </c>
      <c r="C37" s="16" t="s">
        <v>193</v>
      </c>
      <c r="D37" s="14"/>
      <c r="E37" s="16"/>
      <c r="F37" s="16"/>
      <c r="G37" s="16"/>
      <c r="H37" s="16"/>
      <c r="I37" s="16"/>
      <c r="J37" s="19" t="s">
        <v>20</v>
      </c>
      <c r="K37" s="12">
        <v>18.0</v>
      </c>
      <c r="L37" s="12">
        <v>38.0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ht="15.75" customHeight="1">
      <c r="A38" s="21"/>
      <c r="B38" s="21"/>
      <c r="C38" s="21"/>
      <c r="D38" s="30" t="s">
        <v>196</v>
      </c>
      <c r="E38" s="23" t="s">
        <v>31</v>
      </c>
      <c r="F38" s="25">
        <v>3.0</v>
      </c>
      <c r="G38" s="25">
        <v>5.0</v>
      </c>
      <c r="H38" s="25" t="s">
        <v>92</v>
      </c>
      <c r="I38" s="25" t="s">
        <v>20</v>
      </c>
      <c r="J38" s="25"/>
      <c r="K38" s="25">
        <v>3.0</v>
      </c>
      <c r="L38" s="25">
        <v>5.0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ht="15.75" customHeight="1">
      <c r="A39" s="21"/>
      <c r="B39" s="21"/>
      <c r="C39" s="9"/>
      <c r="D39" s="43"/>
      <c r="E39" s="31"/>
      <c r="F39" s="25">
        <v>3.0</v>
      </c>
      <c r="G39" s="25">
        <v>5.0</v>
      </c>
      <c r="H39" s="25" t="s">
        <v>98</v>
      </c>
      <c r="I39" s="25" t="s">
        <v>20</v>
      </c>
      <c r="J39" s="25"/>
      <c r="K39" s="25">
        <v>3.0</v>
      </c>
      <c r="L39" s="25">
        <v>5.0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ht="15.75" customHeight="1">
      <c r="A40" s="21"/>
      <c r="B40" s="21"/>
      <c r="C40" s="21"/>
      <c r="D40" s="32"/>
      <c r="E40" s="21"/>
      <c r="F40" s="25">
        <v>3.0</v>
      </c>
      <c r="G40" s="25">
        <v>5.0</v>
      </c>
      <c r="H40" s="25" t="s">
        <v>102</v>
      </c>
      <c r="I40" s="25" t="s">
        <v>20</v>
      </c>
      <c r="J40" s="25"/>
      <c r="K40" s="25">
        <v>3.0</v>
      </c>
      <c r="L40" s="25">
        <v>5.0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ht="15.75" customHeight="1">
      <c r="A41" s="21"/>
      <c r="B41" s="21"/>
      <c r="C41" s="21"/>
      <c r="D41" s="32"/>
      <c r="E41" s="23"/>
      <c r="F41" s="25">
        <v>3.0</v>
      </c>
      <c r="G41" s="25">
        <v>5.0</v>
      </c>
      <c r="H41" s="25" t="s">
        <v>106</v>
      </c>
      <c r="I41" s="25" t="s">
        <v>20</v>
      </c>
      <c r="J41" s="25"/>
      <c r="K41" s="25">
        <v>3.0</v>
      </c>
      <c r="L41" s="25">
        <v>5.0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15.75" customHeight="1">
      <c r="A42" s="12">
        <v>10.0</v>
      </c>
      <c r="B42" s="12" t="s">
        <v>210</v>
      </c>
      <c r="C42" s="16" t="s">
        <v>211</v>
      </c>
      <c r="D42" s="14"/>
      <c r="E42" s="16"/>
      <c r="F42" s="16"/>
      <c r="G42" s="16"/>
      <c r="H42" s="16"/>
      <c r="I42" s="16"/>
      <c r="J42" s="19" t="s">
        <v>20</v>
      </c>
      <c r="K42" s="12">
        <f t="shared" ref="K42:L42" si="1">SUM(K43:K48)</f>
        <v>17</v>
      </c>
      <c r="L42" s="12">
        <f t="shared" si="1"/>
        <v>27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ht="15.75" customHeight="1">
      <c r="A43" s="21"/>
      <c r="B43" s="21"/>
      <c r="C43" s="21"/>
      <c r="D43" s="30" t="s">
        <v>218</v>
      </c>
      <c r="E43" s="23" t="s">
        <v>219</v>
      </c>
      <c r="F43" s="25">
        <v>3.0</v>
      </c>
      <c r="G43" s="25">
        <v>5.0</v>
      </c>
      <c r="H43" s="25" t="s">
        <v>92</v>
      </c>
      <c r="I43" s="25" t="s">
        <v>20</v>
      </c>
      <c r="J43" s="25"/>
      <c r="K43" s="25">
        <v>3.0</v>
      </c>
      <c r="L43" s="25">
        <v>5.0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ht="15.75" customHeight="1">
      <c r="A44" s="21"/>
      <c r="B44" s="21"/>
      <c r="C44" s="21"/>
      <c r="D44" s="32"/>
      <c r="E44" s="31"/>
      <c r="F44" s="25">
        <v>3.0</v>
      </c>
      <c r="G44" s="25">
        <v>5.0</v>
      </c>
      <c r="H44" s="25" t="s">
        <v>98</v>
      </c>
      <c r="I44" s="25" t="s">
        <v>20</v>
      </c>
      <c r="J44" s="25"/>
      <c r="K44" s="25">
        <v>3.0</v>
      </c>
      <c r="L44" s="25">
        <v>5.0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ht="15.75" customHeight="1">
      <c r="A45" s="21"/>
      <c r="B45" s="21"/>
      <c r="C45" s="21"/>
      <c r="D45" s="32"/>
      <c r="E45" s="21"/>
      <c r="F45" s="25">
        <v>3.0</v>
      </c>
      <c r="G45" s="25">
        <v>5.0</v>
      </c>
      <c r="H45" s="25" t="s">
        <v>102</v>
      </c>
      <c r="I45" s="25" t="s">
        <v>20</v>
      </c>
      <c r="J45" s="25"/>
      <c r="K45" s="25">
        <v>3.0</v>
      </c>
      <c r="L45" s="25">
        <v>5.0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ht="15.75" customHeight="1">
      <c r="A46" s="21"/>
      <c r="B46" s="21"/>
      <c r="C46" s="21"/>
      <c r="D46" s="32"/>
      <c r="E46" s="23"/>
      <c r="F46" s="25">
        <v>3.0</v>
      </c>
      <c r="G46" s="25">
        <v>5.0</v>
      </c>
      <c r="H46" s="25" t="s">
        <v>106</v>
      </c>
      <c r="I46" s="25" t="s">
        <v>20</v>
      </c>
      <c r="J46" s="25"/>
      <c r="K46" s="25">
        <v>3.0</v>
      </c>
      <c r="L46" s="25">
        <v>5.0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ht="15.75" customHeight="1">
      <c r="A47" s="21"/>
      <c r="B47" s="21"/>
      <c r="C47" s="21"/>
      <c r="D47" s="30" t="s">
        <v>167</v>
      </c>
      <c r="E47" s="23" t="s">
        <v>168</v>
      </c>
      <c r="F47" s="25">
        <v>3.0</v>
      </c>
      <c r="G47" s="25">
        <v>5.0</v>
      </c>
      <c r="H47" s="25" t="s">
        <v>25</v>
      </c>
      <c r="I47" s="25" t="s">
        <v>20</v>
      </c>
      <c r="J47" s="25"/>
      <c r="K47" s="25">
        <v>3.0</v>
      </c>
      <c r="L47" s="25">
        <v>5.0</v>
      </c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ht="15.75" customHeight="1">
      <c r="A48" s="21"/>
      <c r="B48" s="21"/>
      <c r="C48" s="21"/>
      <c r="D48" s="30" t="s">
        <v>234</v>
      </c>
      <c r="E48" s="23" t="s">
        <v>235</v>
      </c>
      <c r="F48" s="25">
        <v>2.0</v>
      </c>
      <c r="G48" s="25">
        <v>2.0</v>
      </c>
      <c r="H48" s="25" t="s">
        <v>92</v>
      </c>
      <c r="I48" s="25" t="s">
        <v>20</v>
      </c>
      <c r="J48" s="25"/>
      <c r="K48" s="25">
        <v>2.0</v>
      </c>
      <c r="L48" s="25">
        <v>2.0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ht="15.75" customHeight="1">
      <c r="A49" s="12">
        <v>11.0</v>
      </c>
      <c r="B49" s="12" t="s">
        <v>243</v>
      </c>
      <c r="C49" s="16" t="s">
        <v>244</v>
      </c>
      <c r="D49" s="14"/>
      <c r="E49" s="16"/>
      <c r="F49" s="16"/>
      <c r="G49" s="16"/>
      <c r="H49" s="16"/>
      <c r="I49" s="16"/>
      <c r="J49" s="19" t="s">
        <v>20</v>
      </c>
      <c r="K49" s="12">
        <v>16.0</v>
      </c>
      <c r="L49" s="12">
        <v>26.0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ht="15.75" customHeight="1">
      <c r="A50" s="21"/>
      <c r="B50" s="21"/>
      <c r="C50" s="21"/>
      <c r="D50" s="22" t="s">
        <v>249</v>
      </c>
      <c r="E50" s="23" t="s">
        <v>250</v>
      </c>
      <c r="F50" s="25">
        <v>2.0</v>
      </c>
      <c r="G50" s="25">
        <v>4.0</v>
      </c>
      <c r="H50" s="25" t="s">
        <v>25</v>
      </c>
      <c r="I50" s="25" t="s">
        <v>20</v>
      </c>
      <c r="J50" s="25"/>
      <c r="K50" s="25">
        <v>2.0</v>
      </c>
      <c r="L50" s="25">
        <v>4.0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ht="15.75" customHeight="1">
      <c r="A51" s="21"/>
      <c r="B51" s="21"/>
      <c r="C51" s="9"/>
      <c r="D51" s="32"/>
      <c r="E51" s="21"/>
      <c r="F51" s="25">
        <v>2.0</v>
      </c>
      <c r="G51" s="25">
        <v>4.0</v>
      </c>
      <c r="H51" s="25" t="s">
        <v>32</v>
      </c>
      <c r="I51" s="25" t="s">
        <v>20</v>
      </c>
      <c r="J51" s="25"/>
      <c r="K51" s="25">
        <v>2.0</v>
      </c>
      <c r="L51" s="25">
        <v>4.0</v>
      </c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ht="15.75" customHeight="1">
      <c r="A52" s="21"/>
      <c r="B52" s="21"/>
      <c r="C52" s="21"/>
      <c r="D52" s="32"/>
      <c r="E52" s="21"/>
      <c r="F52" s="25">
        <v>2.0</v>
      </c>
      <c r="G52" s="25">
        <v>4.0</v>
      </c>
      <c r="H52" s="25" t="s">
        <v>40</v>
      </c>
      <c r="I52" s="25" t="s">
        <v>20</v>
      </c>
      <c r="J52" s="25"/>
      <c r="K52" s="25">
        <v>2.0</v>
      </c>
      <c r="L52" s="25">
        <v>4.0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ht="15.75" customHeight="1">
      <c r="A53" s="21"/>
      <c r="B53" s="21"/>
      <c r="C53" s="21"/>
      <c r="D53" s="32"/>
      <c r="E53" s="21"/>
      <c r="F53" s="25">
        <v>2.0</v>
      </c>
      <c r="G53" s="25">
        <v>4.0</v>
      </c>
      <c r="H53" s="25" t="s">
        <v>45</v>
      </c>
      <c r="I53" s="25" t="s">
        <v>20</v>
      </c>
      <c r="J53" s="25"/>
      <c r="K53" s="25">
        <v>2.0</v>
      </c>
      <c r="L53" s="25">
        <v>4.0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15.75" customHeight="1">
      <c r="A54" s="21"/>
      <c r="B54" s="21"/>
      <c r="C54" s="21"/>
      <c r="D54" s="22" t="s">
        <v>260</v>
      </c>
      <c r="E54" s="23" t="s">
        <v>261</v>
      </c>
      <c r="F54" s="25">
        <v>3.0</v>
      </c>
      <c r="G54" s="25">
        <v>3.0</v>
      </c>
      <c r="H54" s="25" t="s">
        <v>25</v>
      </c>
      <c r="I54" s="25" t="s">
        <v>20</v>
      </c>
      <c r="J54" s="25"/>
      <c r="K54" s="25">
        <v>3.0</v>
      </c>
      <c r="L54" s="25">
        <v>3.0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t="15.75" customHeight="1">
      <c r="A55" s="21"/>
      <c r="B55" s="21"/>
      <c r="C55" s="21"/>
      <c r="D55" s="32"/>
      <c r="E55" s="23"/>
      <c r="F55" s="25">
        <v>3.0</v>
      </c>
      <c r="G55" s="25">
        <v>3.0</v>
      </c>
      <c r="H55" s="25" t="s">
        <v>32</v>
      </c>
      <c r="I55" s="25" t="s">
        <v>20</v>
      </c>
      <c r="J55" s="25"/>
      <c r="K55" s="25">
        <v>3.0</v>
      </c>
      <c r="L55" s="25">
        <v>3.0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ht="15.75" customHeight="1">
      <c r="A56" s="12">
        <v>12.0</v>
      </c>
      <c r="B56" s="12" t="s">
        <v>208</v>
      </c>
      <c r="C56" s="16" t="s">
        <v>209</v>
      </c>
      <c r="D56" s="14"/>
      <c r="E56" s="16"/>
      <c r="F56" s="16"/>
      <c r="G56" s="16"/>
      <c r="H56" s="16"/>
      <c r="I56" s="16"/>
      <c r="J56" s="19" t="s">
        <v>20</v>
      </c>
      <c r="K56" s="12">
        <f t="shared" ref="K56:L56" si="2">SUM(K57:K61)</f>
        <v>14</v>
      </c>
      <c r="L56" s="12">
        <f t="shared" si="2"/>
        <v>22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ht="15.75" customHeight="1">
      <c r="A57" s="21"/>
      <c r="B57" s="21"/>
      <c r="C57" s="21"/>
      <c r="D57" s="30" t="s">
        <v>267</v>
      </c>
      <c r="E57" s="23" t="s">
        <v>268</v>
      </c>
      <c r="F57" s="25">
        <v>3.0</v>
      </c>
      <c r="G57" s="25">
        <v>5.0</v>
      </c>
      <c r="H57" s="25" t="s">
        <v>92</v>
      </c>
      <c r="I57" s="25" t="s">
        <v>20</v>
      </c>
      <c r="J57" s="25"/>
      <c r="K57" s="25">
        <v>3.0</v>
      </c>
      <c r="L57" s="25">
        <v>5.0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ht="15.75" customHeight="1">
      <c r="A58" s="21"/>
      <c r="B58" s="21"/>
      <c r="C58" s="9"/>
      <c r="D58" s="32"/>
      <c r="E58" s="23"/>
      <c r="F58" s="25">
        <v>3.0</v>
      </c>
      <c r="G58" s="25">
        <v>5.0</v>
      </c>
      <c r="H58" s="25" t="s">
        <v>98</v>
      </c>
      <c r="I58" s="25" t="s">
        <v>20</v>
      </c>
      <c r="J58" s="25"/>
      <c r="K58" s="25">
        <v>3.0</v>
      </c>
      <c r="L58" s="25">
        <v>5.0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ht="15.75" customHeight="1">
      <c r="A59" s="21"/>
      <c r="B59" s="21"/>
      <c r="C59" s="21"/>
      <c r="D59" s="36"/>
      <c r="E59" s="23"/>
      <c r="F59" s="25">
        <v>3.0</v>
      </c>
      <c r="G59" s="25">
        <v>5.0</v>
      </c>
      <c r="H59" s="25" t="s">
        <v>102</v>
      </c>
      <c r="I59" s="25" t="s">
        <v>20</v>
      </c>
      <c r="J59" s="25"/>
      <c r="K59" s="25">
        <v>3.0</v>
      </c>
      <c r="L59" s="25">
        <v>5.0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t="15.75" customHeight="1">
      <c r="A60" s="21"/>
      <c r="B60" s="21"/>
      <c r="C60" s="21"/>
      <c r="D60" s="36"/>
      <c r="E60" s="23"/>
      <c r="F60" s="25">
        <v>3.0</v>
      </c>
      <c r="G60" s="25">
        <v>5.0</v>
      </c>
      <c r="H60" s="25" t="s">
        <v>106</v>
      </c>
      <c r="I60" s="25" t="s">
        <v>20</v>
      </c>
      <c r="J60" s="25"/>
      <c r="K60" s="25">
        <v>3.0</v>
      </c>
      <c r="L60" s="25">
        <v>5.0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ht="15.75" customHeight="1">
      <c r="A61" s="21"/>
      <c r="B61" s="21"/>
      <c r="C61" s="21"/>
      <c r="D61" s="30" t="s">
        <v>199</v>
      </c>
      <c r="E61" s="23" t="s">
        <v>200</v>
      </c>
      <c r="F61" s="25">
        <v>2.0</v>
      </c>
      <c r="G61" s="25">
        <v>2.0</v>
      </c>
      <c r="H61" s="25" t="s">
        <v>32</v>
      </c>
      <c r="I61" s="25" t="s">
        <v>20</v>
      </c>
      <c r="J61" s="25"/>
      <c r="K61" s="25">
        <v>2.0</v>
      </c>
      <c r="L61" s="25">
        <v>2.0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t="15.75" customHeight="1">
      <c r="A62" s="12">
        <v>13.0</v>
      </c>
      <c r="B62" s="12" t="s">
        <v>202</v>
      </c>
      <c r="C62" s="16" t="s">
        <v>272</v>
      </c>
      <c r="D62" s="14"/>
      <c r="E62" s="16"/>
      <c r="F62" s="16"/>
      <c r="G62" s="16"/>
      <c r="H62" s="16"/>
      <c r="I62" s="16"/>
      <c r="J62" s="19" t="s">
        <v>20</v>
      </c>
      <c r="K62" s="12">
        <f t="shared" ref="K62:L62" si="3">SUM(K63:K65)</f>
        <v>8</v>
      </c>
      <c r="L62" s="12">
        <f t="shared" si="3"/>
        <v>8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t="15.75" customHeight="1">
      <c r="A63" s="21"/>
      <c r="B63" s="21"/>
      <c r="C63" s="21"/>
      <c r="D63" s="30" t="s">
        <v>260</v>
      </c>
      <c r="E63" s="23" t="s">
        <v>261</v>
      </c>
      <c r="F63" s="25">
        <v>3.0</v>
      </c>
      <c r="G63" s="25">
        <v>3.0</v>
      </c>
      <c r="H63" s="25" t="s">
        <v>40</v>
      </c>
      <c r="I63" s="25" t="s">
        <v>20</v>
      </c>
      <c r="J63" s="25"/>
      <c r="K63" s="25">
        <v>3.0</v>
      </c>
      <c r="L63" s="25">
        <v>3.0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t="15.75" customHeight="1">
      <c r="A64" s="21"/>
      <c r="B64" s="21"/>
      <c r="C64" s="74"/>
      <c r="D64" s="32"/>
      <c r="E64" s="23"/>
      <c r="F64" s="25">
        <v>3.0</v>
      </c>
      <c r="G64" s="25">
        <v>3.0</v>
      </c>
      <c r="H64" s="25" t="s">
        <v>45</v>
      </c>
      <c r="I64" s="25" t="s">
        <v>20</v>
      </c>
      <c r="J64" s="25"/>
      <c r="K64" s="25">
        <v>3.0</v>
      </c>
      <c r="L64" s="25">
        <v>3.0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15.75" customHeight="1">
      <c r="A65" s="21"/>
      <c r="B65" s="21"/>
      <c r="C65" s="74"/>
      <c r="D65" s="30" t="s">
        <v>199</v>
      </c>
      <c r="E65" s="23" t="s">
        <v>200</v>
      </c>
      <c r="F65" s="25">
        <v>2.0</v>
      </c>
      <c r="G65" s="25">
        <v>2.0</v>
      </c>
      <c r="H65" s="25" t="s">
        <v>25</v>
      </c>
      <c r="I65" s="25" t="s">
        <v>20</v>
      </c>
      <c r="J65" s="25"/>
      <c r="K65" s="25">
        <v>2.0</v>
      </c>
      <c r="L65" s="25">
        <v>2.0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t="15.75" customHeight="1">
      <c r="A66" s="12">
        <v>14.0</v>
      </c>
      <c r="B66" s="12" t="s">
        <v>226</v>
      </c>
      <c r="C66" s="16" t="s">
        <v>227</v>
      </c>
      <c r="D66" s="14"/>
      <c r="E66" s="16"/>
      <c r="F66" s="16"/>
      <c r="G66" s="16"/>
      <c r="H66" s="16"/>
      <c r="I66" s="16"/>
      <c r="J66" s="12"/>
      <c r="K66" s="12">
        <f t="shared" ref="K66:L66" si="4">SUM(K67:K69)</f>
        <v>6</v>
      </c>
      <c r="L66" s="12">
        <f t="shared" si="4"/>
        <v>6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t="15.75" customHeight="1">
      <c r="A67" s="21"/>
      <c r="B67" s="21"/>
      <c r="C67" s="21"/>
      <c r="D67" s="30" t="s">
        <v>234</v>
      </c>
      <c r="E67" s="23" t="s">
        <v>235</v>
      </c>
      <c r="F67" s="25">
        <v>2.0</v>
      </c>
      <c r="G67" s="25">
        <v>2.0</v>
      </c>
      <c r="H67" s="25" t="s">
        <v>98</v>
      </c>
      <c r="I67" s="25" t="s">
        <v>20</v>
      </c>
      <c r="J67" s="25"/>
      <c r="K67" s="25">
        <v>2.0</v>
      </c>
      <c r="L67" s="25">
        <v>2.0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t="15.75" customHeight="1">
      <c r="A68" s="21"/>
      <c r="B68" s="21"/>
      <c r="C68" s="9"/>
      <c r="D68" s="32"/>
      <c r="E68" s="23"/>
      <c r="F68" s="76">
        <v>2.0</v>
      </c>
      <c r="G68" s="76">
        <v>2.0</v>
      </c>
      <c r="H68" s="25" t="s">
        <v>102</v>
      </c>
      <c r="I68" s="76" t="s">
        <v>20</v>
      </c>
      <c r="J68" s="76"/>
      <c r="K68" s="76">
        <v>2.0</v>
      </c>
      <c r="L68" s="76">
        <v>2.0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t="15.75" customHeight="1">
      <c r="A69" s="21"/>
      <c r="B69" s="21"/>
      <c r="C69" s="21"/>
      <c r="D69" s="32"/>
      <c r="E69" s="21"/>
      <c r="F69" s="29">
        <v>2.0</v>
      </c>
      <c r="G69" s="25">
        <v>2.0</v>
      </c>
      <c r="H69" s="25" t="s">
        <v>106</v>
      </c>
      <c r="I69" s="25" t="s">
        <v>20</v>
      </c>
      <c r="J69" s="29"/>
      <c r="K69" s="29">
        <v>2.0</v>
      </c>
      <c r="L69" s="25">
        <v>2.0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ht="15.75" customHeight="1">
      <c r="A70" s="12">
        <v>15.0</v>
      </c>
      <c r="B70" s="12" t="s">
        <v>216</v>
      </c>
      <c r="C70" s="16" t="s">
        <v>217</v>
      </c>
      <c r="D70" s="14"/>
      <c r="E70" s="16"/>
      <c r="F70" s="16"/>
      <c r="G70" s="16"/>
      <c r="H70" s="16"/>
      <c r="I70" s="16"/>
      <c r="J70" s="12"/>
      <c r="K70" s="12">
        <f t="shared" ref="K70:L70" si="5">SUM(K71:K74)</f>
        <v>8</v>
      </c>
      <c r="L70" s="12">
        <f t="shared" si="5"/>
        <v>8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ht="15.75" customHeight="1">
      <c r="A71" s="21"/>
      <c r="B71" s="21"/>
      <c r="C71" s="21"/>
      <c r="D71" s="30" t="s">
        <v>185</v>
      </c>
      <c r="E71" s="23" t="s">
        <v>186</v>
      </c>
      <c r="F71" s="25">
        <v>2.0</v>
      </c>
      <c r="G71" s="25">
        <v>2.0</v>
      </c>
      <c r="H71" s="25" t="s">
        <v>25</v>
      </c>
      <c r="I71" s="25" t="s">
        <v>20</v>
      </c>
      <c r="J71" s="25"/>
      <c r="K71" s="25">
        <v>2.0</v>
      </c>
      <c r="L71" s="25">
        <v>2.0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ht="15.75" customHeight="1">
      <c r="A72" s="21"/>
      <c r="B72" s="21"/>
      <c r="C72" s="9"/>
      <c r="D72" s="32"/>
      <c r="E72" s="23"/>
      <c r="F72" s="25">
        <v>2.0</v>
      </c>
      <c r="G72" s="25">
        <v>2.0</v>
      </c>
      <c r="H72" s="25" t="s">
        <v>32</v>
      </c>
      <c r="I72" s="25" t="s">
        <v>20</v>
      </c>
      <c r="J72" s="25"/>
      <c r="K72" s="25">
        <v>2.0</v>
      </c>
      <c r="L72" s="25">
        <v>2.0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t="15.75" customHeight="1">
      <c r="A73" s="21"/>
      <c r="B73" s="21"/>
      <c r="C73" s="21"/>
      <c r="D73" s="32"/>
      <c r="E73" s="21"/>
      <c r="F73" s="76">
        <v>2.0</v>
      </c>
      <c r="G73" s="76">
        <v>2.0</v>
      </c>
      <c r="H73" s="25" t="s">
        <v>40</v>
      </c>
      <c r="I73" s="76" t="s">
        <v>20</v>
      </c>
      <c r="J73" s="76"/>
      <c r="K73" s="76">
        <v>2.0</v>
      </c>
      <c r="L73" s="76">
        <v>2.0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15.75" customHeight="1">
      <c r="A74" s="21"/>
      <c r="B74" s="21"/>
      <c r="C74" s="21"/>
      <c r="D74" s="32"/>
      <c r="E74" s="21"/>
      <c r="F74" s="29">
        <v>2.0</v>
      </c>
      <c r="G74" s="25">
        <v>2.0</v>
      </c>
      <c r="H74" s="25" t="s">
        <v>45</v>
      </c>
      <c r="I74" s="25" t="s">
        <v>20</v>
      </c>
      <c r="J74" s="29"/>
      <c r="K74" s="29">
        <v>2.0</v>
      </c>
      <c r="L74" s="25">
        <v>2.0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t="15.75" customHeight="1">
      <c r="A75" s="12">
        <v>16.0</v>
      </c>
      <c r="B75" s="12" t="s">
        <v>191</v>
      </c>
      <c r="C75" s="16" t="s">
        <v>275</v>
      </c>
      <c r="D75" s="14"/>
      <c r="E75" s="16"/>
      <c r="F75" s="16"/>
      <c r="G75" s="16"/>
      <c r="H75" s="16"/>
      <c r="I75" s="16"/>
      <c r="J75" s="12"/>
      <c r="K75" s="12">
        <f t="shared" ref="K75:L75" si="6">SUM(K76:K77)</f>
        <v>4</v>
      </c>
      <c r="L75" s="12">
        <f t="shared" si="6"/>
        <v>4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15.75" customHeight="1">
      <c r="A76" s="21"/>
      <c r="B76" s="21"/>
      <c r="C76" s="21"/>
      <c r="D76" s="30" t="s">
        <v>199</v>
      </c>
      <c r="E76" s="23" t="s">
        <v>200</v>
      </c>
      <c r="F76" s="25">
        <v>2.0</v>
      </c>
      <c r="G76" s="25">
        <v>2.0</v>
      </c>
      <c r="H76" s="25" t="s">
        <v>45</v>
      </c>
      <c r="I76" s="25" t="s">
        <v>20</v>
      </c>
      <c r="J76" s="25"/>
      <c r="K76" s="25">
        <v>2.0</v>
      </c>
      <c r="L76" s="25">
        <v>2.0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ht="15.75" customHeight="1">
      <c r="A77" s="21"/>
      <c r="B77" s="21"/>
      <c r="C77" s="9"/>
      <c r="D77" s="32"/>
      <c r="E77" s="23"/>
      <c r="F77" s="76">
        <v>2.0</v>
      </c>
      <c r="G77" s="76">
        <v>2.0</v>
      </c>
      <c r="H77" s="25" t="s">
        <v>40</v>
      </c>
      <c r="I77" s="76" t="s">
        <v>20</v>
      </c>
      <c r="J77" s="76"/>
      <c r="K77" s="76">
        <v>2.0</v>
      </c>
      <c r="L77" s="76">
        <v>2.0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ht="15.75" customHeight="1">
      <c r="A78" s="12">
        <v>17.0</v>
      </c>
      <c r="B78" s="12" t="s">
        <v>276</v>
      </c>
      <c r="C78" s="16" t="s">
        <v>277</v>
      </c>
      <c r="D78" s="14"/>
      <c r="E78" s="16"/>
      <c r="F78" s="16"/>
      <c r="G78" s="16"/>
      <c r="H78" s="16"/>
      <c r="I78" s="16"/>
      <c r="J78" s="12"/>
      <c r="K78" s="12">
        <f t="shared" ref="K78:L78" si="7">SUM(K79:K82)</f>
        <v>8</v>
      </c>
      <c r="L78" s="12">
        <f t="shared" si="7"/>
        <v>8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ht="15.75" customHeight="1">
      <c r="A79" s="21"/>
      <c r="B79" s="21"/>
      <c r="C79" s="21"/>
      <c r="D79" s="30" t="s">
        <v>279</v>
      </c>
      <c r="E79" s="21" t="s">
        <v>207</v>
      </c>
      <c r="F79" s="25">
        <v>2.0</v>
      </c>
      <c r="G79" s="25">
        <v>2.0</v>
      </c>
      <c r="H79" s="25" t="s">
        <v>92</v>
      </c>
      <c r="I79" s="25" t="s">
        <v>20</v>
      </c>
      <c r="J79" s="25"/>
      <c r="K79" s="25">
        <v>2.0</v>
      </c>
      <c r="L79" s="25">
        <v>2.0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ht="15.75" customHeight="1">
      <c r="A80" s="21"/>
      <c r="B80" s="21"/>
      <c r="C80" s="9"/>
      <c r="D80" s="32"/>
      <c r="E80" s="23"/>
      <c r="F80" s="25">
        <v>2.0</v>
      </c>
      <c r="G80" s="25">
        <v>2.0</v>
      </c>
      <c r="H80" s="25" t="s">
        <v>98</v>
      </c>
      <c r="I80" s="25" t="s">
        <v>20</v>
      </c>
      <c r="J80" s="25"/>
      <c r="K80" s="25">
        <v>2.0</v>
      </c>
      <c r="L80" s="25">
        <v>2.0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ht="15.75" customHeight="1">
      <c r="A81" s="21"/>
      <c r="B81" s="21"/>
      <c r="C81" s="21"/>
      <c r="D81" s="32"/>
      <c r="E81" s="21"/>
      <c r="F81" s="76">
        <v>2.0</v>
      </c>
      <c r="G81" s="76">
        <v>2.0</v>
      </c>
      <c r="H81" s="25" t="s">
        <v>102</v>
      </c>
      <c r="I81" s="76" t="s">
        <v>20</v>
      </c>
      <c r="J81" s="76"/>
      <c r="K81" s="76">
        <v>2.0</v>
      </c>
      <c r="L81" s="76">
        <v>2.0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ht="15.75" customHeight="1">
      <c r="A82" s="21"/>
      <c r="B82" s="21"/>
      <c r="C82" s="21"/>
      <c r="D82" s="32"/>
      <c r="E82" s="21"/>
      <c r="F82" s="29">
        <v>2.0</v>
      </c>
      <c r="G82" s="25">
        <v>2.0</v>
      </c>
      <c r="H82" s="25" t="s">
        <v>106</v>
      </c>
      <c r="I82" s="25" t="s">
        <v>20</v>
      </c>
      <c r="J82" s="29"/>
      <c r="K82" s="29">
        <v>2.0</v>
      </c>
      <c r="L82" s="25">
        <v>2.0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ht="15.75" customHeight="1">
      <c r="A83" s="9"/>
      <c r="B83" s="9"/>
      <c r="C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ht="15.75" customHeight="1">
      <c r="A84" s="9"/>
      <c r="B84" s="9"/>
      <c r="C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ht="15.75" customHeight="1">
      <c r="A85" s="9"/>
      <c r="B85" s="9"/>
      <c r="C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ht="15.75" customHeight="1">
      <c r="A86" s="9"/>
      <c r="B86" s="9"/>
      <c r="C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ht="15.75" customHeight="1">
      <c r="A87" s="9"/>
      <c r="B87" s="9"/>
      <c r="C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ht="15.75" customHeight="1">
      <c r="A88" s="9"/>
      <c r="B88" s="9"/>
      <c r="C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ht="15.75" customHeight="1">
      <c r="A89" s="9"/>
      <c r="B89" s="9"/>
      <c r="C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ht="15.75" customHeight="1">
      <c r="A90" s="9"/>
      <c r="B90" s="9"/>
      <c r="C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ht="15.75" customHeight="1">
      <c r="A91" s="9"/>
      <c r="B91" s="9"/>
      <c r="C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ht="15.75" customHeight="1">
      <c r="A92" s="9"/>
      <c r="B92" s="9"/>
      <c r="C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ht="15.75" customHeight="1">
      <c r="A93" s="9"/>
      <c r="B93" s="9"/>
      <c r="C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ht="15.75" customHeight="1">
      <c r="A94" s="9"/>
      <c r="B94" s="9"/>
      <c r="C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ht="15.75" customHeight="1">
      <c r="A95" s="9"/>
      <c r="B95" s="9"/>
      <c r="C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t="15.75" customHeight="1">
      <c r="A96" s="9"/>
      <c r="B96" s="9"/>
      <c r="C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15.75" customHeight="1">
      <c r="A97" s="9"/>
      <c r="B97" s="9"/>
      <c r="C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t="15.75" customHeight="1">
      <c r="A98" s="9"/>
      <c r="B98" s="9"/>
      <c r="C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t="15.75" customHeight="1">
      <c r="A99" s="9"/>
      <c r="B99" s="9"/>
      <c r="C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15.75" customHeight="1">
      <c r="A100" s="9"/>
      <c r="B100" s="9"/>
      <c r="C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t="15.75" customHeight="1">
      <c r="A101" s="9"/>
      <c r="B101" s="9"/>
      <c r="C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t="15.75" customHeight="1">
      <c r="A102" s="9"/>
      <c r="B102" s="9"/>
      <c r="C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ht="15.75" customHeight="1">
      <c r="A103" s="9"/>
      <c r="B103" s="9"/>
      <c r="C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t="15.75" customHeight="1">
      <c r="A104" s="9"/>
      <c r="B104" s="9"/>
      <c r="C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t="15.75" customHeight="1">
      <c r="A105" s="9"/>
      <c r="B105" s="9"/>
      <c r="C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t="15.75" customHeight="1">
      <c r="A106" s="9"/>
      <c r="B106" s="9"/>
      <c r="C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t="15.75" customHeight="1">
      <c r="A107" s="9"/>
      <c r="B107" s="9"/>
      <c r="C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t="15.75" customHeight="1">
      <c r="A108" s="9"/>
      <c r="B108" s="9"/>
      <c r="C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ht="15.75" customHeight="1">
      <c r="A109" s="9"/>
      <c r="B109" s="9"/>
      <c r="C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ht="15.75" customHeight="1">
      <c r="A110" s="9"/>
      <c r="B110" s="9"/>
      <c r="C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ht="15.75" customHeight="1">
      <c r="A111" s="9"/>
      <c r="B111" s="9"/>
      <c r="C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ht="15.75" customHeight="1">
      <c r="A112" s="9"/>
      <c r="B112" s="9"/>
      <c r="C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t="15.75" customHeight="1">
      <c r="A113" s="9"/>
      <c r="B113" s="9"/>
      <c r="C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t="15.75" customHeight="1">
      <c r="A114" s="9"/>
      <c r="B114" s="9"/>
      <c r="C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t="15.75" customHeight="1">
      <c r="A115" s="9"/>
      <c r="B115" s="9"/>
      <c r="C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ht="15.75" customHeight="1">
      <c r="A116" s="9"/>
      <c r="B116" s="9"/>
      <c r="C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t="15.75" customHeight="1">
      <c r="A117" s="9"/>
      <c r="B117" s="9"/>
      <c r="C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15.75" customHeight="1">
      <c r="A118" s="9"/>
      <c r="B118" s="9"/>
      <c r="C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t="15.75" customHeight="1">
      <c r="A119" s="9"/>
      <c r="B119" s="9"/>
      <c r="C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15.75" customHeight="1">
      <c r="A120" s="9"/>
      <c r="B120" s="9"/>
      <c r="C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ht="15.75" customHeight="1">
      <c r="A121" s="9"/>
      <c r="B121" s="9"/>
      <c r="C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t="15.75" customHeight="1">
      <c r="A122" s="9"/>
      <c r="B122" s="9"/>
      <c r="C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ht="15.75" customHeight="1">
      <c r="A123" s="9"/>
      <c r="B123" s="9"/>
      <c r="C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ht="15.75" customHeight="1">
      <c r="A124" s="9"/>
      <c r="B124" s="9"/>
      <c r="C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ht="15.75" customHeight="1">
      <c r="A125" s="9"/>
      <c r="B125" s="9"/>
      <c r="C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t="15.75" customHeight="1">
      <c r="A126" s="9"/>
      <c r="B126" s="9"/>
      <c r="C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t="15.75" customHeight="1">
      <c r="A127" s="9"/>
      <c r="B127" s="9"/>
      <c r="C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ht="15.75" customHeight="1">
      <c r="A128" s="9"/>
      <c r="B128" s="9"/>
      <c r="C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t="15.75" customHeight="1">
      <c r="A129" s="9"/>
      <c r="B129" s="9"/>
      <c r="C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ht="15.75" customHeight="1">
      <c r="A130" s="9"/>
      <c r="B130" s="9"/>
      <c r="C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15.75" customHeight="1">
      <c r="A131" s="9"/>
      <c r="B131" s="9"/>
      <c r="C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ht="15.75" customHeight="1">
      <c r="A132" s="9"/>
      <c r="B132" s="9"/>
      <c r="C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ht="15.75" customHeight="1">
      <c r="A133" s="9"/>
      <c r="B133" s="9"/>
      <c r="C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ht="15.75" customHeight="1">
      <c r="A134" s="9"/>
      <c r="B134" s="9"/>
      <c r="C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ht="15.75" customHeight="1">
      <c r="A135" s="9"/>
      <c r="B135" s="9"/>
      <c r="C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ht="15.75" customHeight="1">
      <c r="A136" s="9"/>
      <c r="B136" s="9"/>
      <c r="C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ht="15.75" customHeight="1">
      <c r="A137" s="9"/>
      <c r="B137" s="9"/>
      <c r="C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ht="15.75" customHeight="1">
      <c r="A138" s="9"/>
      <c r="B138" s="9"/>
      <c r="C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ht="15.75" customHeight="1">
      <c r="A139" s="9"/>
      <c r="B139" s="9"/>
      <c r="C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ht="15.75" customHeight="1">
      <c r="A140" s="9"/>
      <c r="B140" s="9"/>
      <c r="C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ht="15.75" customHeight="1">
      <c r="A141" s="9"/>
      <c r="B141" s="9"/>
      <c r="C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15.75" customHeight="1">
      <c r="A142" s="9"/>
      <c r="B142" s="9"/>
      <c r="C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ht="15.75" customHeight="1">
      <c r="A143" s="9"/>
      <c r="B143" s="9"/>
      <c r="C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ht="15.75" customHeight="1">
      <c r="A144" s="9"/>
      <c r="B144" s="9"/>
      <c r="C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ht="15.75" customHeight="1">
      <c r="A145" s="9"/>
      <c r="B145" s="9"/>
      <c r="C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ht="15.75" customHeight="1">
      <c r="A146" s="9"/>
      <c r="B146" s="9"/>
      <c r="C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ht="15.75" customHeight="1">
      <c r="A147" s="9"/>
      <c r="B147" s="9"/>
      <c r="C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ht="15.75" customHeight="1">
      <c r="A148" s="9"/>
      <c r="B148" s="9"/>
      <c r="C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ht="15.75" customHeight="1">
      <c r="A149" s="9"/>
      <c r="B149" s="9"/>
      <c r="C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ht="15.75" customHeight="1">
      <c r="A150" s="9"/>
      <c r="B150" s="9"/>
      <c r="C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ht="15.75" customHeight="1">
      <c r="A151" s="9"/>
      <c r="B151" s="9"/>
      <c r="C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ht="15.75" customHeight="1">
      <c r="A152" s="9"/>
      <c r="B152" s="9"/>
      <c r="C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ht="15.75" customHeight="1">
      <c r="A153" s="9"/>
      <c r="B153" s="9"/>
      <c r="C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ht="15.75" customHeight="1">
      <c r="A154" s="9"/>
      <c r="B154" s="9"/>
      <c r="C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ht="15.75" customHeight="1">
      <c r="A155" s="9"/>
      <c r="B155" s="9"/>
      <c r="C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ht="15.75" customHeight="1">
      <c r="A156" s="9"/>
      <c r="B156" s="9"/>
      <c r="C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ht="15.75" customHeight="1">
      <c r="A157" s="9"/>
      <c r="B157" s="9"/>
      <c r="C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ht="15.75" customHeight="1">
      <c r="A158" s="9"/>
      <c r="B158" s="9"/>
      <c r="C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ht="15.75" customHeight="1">
      <c r="A159" s="9"/>
      <c r="B159" s="9"/>
      <c r="C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ht="15.75" customHeight="1">
      <c r="A160" s="9"/>
      <c r="B160" s="9"/>
      <c r="C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ht="15.75" customHeight="1">
      <c r="A161" s="9"/>
      <c r="B161" s="9"/>
      <c r="C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ht="15.75" customHeight="1">
      <c r="A162" s="9"/>
      <c r="B162" s="9"/>
      <c r="C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ht="15.75" customHeight="1">
      <c r="A163" s="9"/>
      <c r="B163" s="9"/>
      <c r="C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ht="15.75" customHeight="1">
      <c r="A164" s="9"/>
      <c r="B164" s="9"/>
      <c r="C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ht="15.75" customHeight="1">
      <c r="A165" s="9"/>
      <c r="B165" s="9"/>
      <c r="C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ht="15.75" customHeight="1">
      <c r="A166" s="9"/>
      <c r="B166" s="9"/>
      <c r="C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ht="15.75" customHeight="1">
      <c r="A167" s="9"/>
      <c r="B167" s="9"/>
      <c r="C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ht="15.75" customHeight="1">
      <c r="A168" s="9"/>
      <c r="B168" s="9"/>
      <c r="C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ht="15.75" customHeight="1">
      <c r="A169" s="9"/>
      <c r="B169" s="9"/>
      <c r="C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ht="15.75" customHeight="1">
      <c r="A170" s="9"/>
      <c r="B170" s="9"/>
      <c r="C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ht="15.75" customHeight="1">
      <c r="A171" s="9"/>
      <c r="B171" s="9"/>
      <c r="C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ht="15.75" customHeight="1">
      <c r="A172" s="9"/>
      <c r="B172" s="9"/>
      <c r="C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ht="15.75" customHeight="1">
      <c r="A173" s="9"/>
      <c r="B173" s="9"/>
      <c r="C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ht="15.75" customHeight="1">
      <c r="A174" s="9"/>
      <c r="B174" s="9"/>
      <c r="C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ht="15.75" customHeight="1">
      <c r="A175" s="9"/>
      <c r="B175" s="9"/>
      <c r="C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ht="15.75" customHeight="1">
      <c r="A176" s="9"/>
      <c r="B176" s="9"/>
      <c r="C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ht="15.75" customHeight="1">
      <c r="A177" s="9"/>
      <c r="B177" s="9"/>
      <c r="C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ht="15.75" customHeight="1">
      <c r="A178" s="9"/>
      <c r="B178" s="9"/>
      <c r="C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ht="15.75" customHeight="1">
      <c r="A179" s="9"/>
      <c r="B179" s="9"/>
      <c r="C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ht="15.75" customHeight="1">
      <c r="A180" s="9"/>
      <c r="B180" s="9"/>
      <c r="C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ht="15.75" customHeight="1">
      <c r="A181" s="9"/>
      <c r="B181" s="9"/>
      <c r="C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ht="15.75" customHeight="1">
      <c r="A182" s="9"/>
      <c r="B182" s="9"/>
      <c r="C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ht="15.75" customHeight="1">
      <c r="A183" s="9"/>
      <c r="B183" s="9"/>
      <c r="C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ht="15.75" customHeight="1">
      <c r="A184" s="9"/>
      <c r="B184" s="9"/>
      <c r="C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ht="15.75" customHeight="1">
      <c r="A185" s="9"/>
      <c r="B185" s="9"/>
      <c r="C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ht="15.75" customHeight="1">
      <c r="A186" s="9"/>
      <c r="B186" s="9"/>
      <c r="C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ht="15.75" customHeight="1">
      <c r="A187" s="9"/>
      <c r="B187" s="9"/>
      <c r="C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ht="15.75" customHeight="1">
      <c r="A188" s="9"/>
      <c r="B188" s="9"/>
      <c r="C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ht="15.75" customHeight="1">
      <c r="A189" s="9"/>
      <c r="B189" s="9"/>
      <c r="C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ht="15.75" customHeight="1">
      <c r="A190" s="9"/>
      <c r="B190" s="9"/>
      <c r="C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ht="15.75" customHeight="1">
      <c r="A191" s="9"/>
      <c r="B191" s="9"/>
      <c r="C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ht="15.75" customHeight="1">
      <c r="A192" s="9"/>
      <c r="B192" s="9"/>
      <c r="C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ht="15.75" customHeight="1">
      <c r="A193" s="9"/>
      <c r="B193" s="9"/>
      <c r="C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ht="15.75" customHeight="1">
      <c r="A194" s="9"/>
      <c r="B194" s="9"/>
      <c r="C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ht="15.75" customHeight="1">
      <c r="A195" s="9"/>
      <c r="B195" s="9"/>
      <c r="C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ht="15.75" customHeight="1">
      <c r="A196" s="9"/>
      <c r="B196" s="9"/>
      <c r="C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ht="15.75" customHeight="1">
      <c r="A197" s="9"/>
      <c r="B197" s="9"/>
      <c r="C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ht="15.75" customHeight="1">
      <c r="A198" s="9"/>
      <c r="B198" s="9"/>
      <c r="C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ht="15.75" customHeight="1">
      <c r="A199" s="9"/>
      <c r="B199" s="9"/>
      <c r="C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ht="15.75" customHeight="1">
      <c r="A200" s="9"/>
      <c r="B200" s="9"/>
      <c r="C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ht="15.75" customHeight="1">
      <c r="A201" s="9"/>
      <c r="B201" s="9"/>
      <c r="C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ht="15.75" customHeight="1">
      <c r="A202" s="9"/>
      <c r="B202" s="9"/>
      <c r="C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ht="15.75" customHeight="1">
      <c r="A203" s="9"/>
      <c r="B203" s="9"/>
      <c r="C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ht="15.75" customHeight="1">
      <c r="A204" s="9"/>
      <c r="B204" s="9"/>
      <c r="C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ht="15.75" customHeight="1">
      <c r="A205" s="9"/>
      <c r="B205" s="9"/>
      <c r="C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ht="15.75" customHeight="1">
      <c r="A206" s="9"/>
      <c r="B206" s="9"/>
      <c r="C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ht="15.75" customHeight="1">
      <c r="A207" s="9"/>
      <c r="B207" s="9"/>
      <c r="C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ht="15.75" customHeight="1">
      <c r="A208" s="9"/>
      <c r="B208" s="9"/>
      <c r="C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ht="15.75" customHeight="1">
      <c r="A209" s="9"/>
      <c r="B209" s="9"/>
      <c r="C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ht="15.75" customHeight="1">
      <c r="A210" s="9"/>
      <c r="B210" s="9"/>
      <c r="C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ht="15.75" customHeight="1">
      <c r="A211" s="9"/>
      <c r="B211" s="9"/>
      <c r="C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ht="15.75" customHeight="1">
      <c r="A212" s="9"/>
      <c r="B212" s="9"/>
      <c r="C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ht="15.75" customHeight="1">
      <c r="A213" s="9"/>
      <c r="B213" s="9"/>
      <c r="C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ht="15.75" customHeight="1">
      <c r="A214" s="9"/>
      <c r="B214" s="9"/>
      <c r="C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ht="15.75" customHeight="1">
      <c r="A215" s="9"/>
      <c r="B215" s="9"/>
      <c r="C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ht="15.75" customHeight="1">
      <c r="A216" s="9"/>
      <c r="B216" s="9"/>
      <c r="C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ht="15.75" customHeight="1">
      <c r="A217" s="9"/>
      <c r="B217" s="9"/>
      <c r="C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ht="15.75" customHeight="1">
      <c r="A218" s="9"/>
      <c r="B218" s="9"/>
      <c r="C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ht="15.75" customHeight="1">
      <c r="A219" s="9"/>
      <c r="B219" s="9"/>
      <c r="C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ht="15.75" customHeight="1">
      <c r="A220" s="9"/>
      <c r="B220" s="9"/>
      <c r="C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ht="15.75" customHeight="1">
      <c r="A221" s="9"/>
      <c r="B221" s="9"/>
      <c r="C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ht="15.75" customHeight="1">
      <c r="A222" s="9"/>
      <c r="B222" s="9"/>
      <c r="C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ht="15.75" customHeight="1">
      <c r="A223" s="9"/>
      <c r="B223" s="9"/>
      <c r="C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ht="15.75" customHeight="1">
      <c r="A224" s="9"/>
      <c r="B224" s="9"/>
      <c r="C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ht="15.75" customHeight="1">
      <c r="A225" s="9"/>
      <c r="B225" s="9"/>
      <c r="C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ht="15.75" customHeight="1">
      <c r="A226" s="9"/>
      <c r="B226" s="9"/>
      <c r="C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t="15.75" customHeight="1">
      <c r="A227" s="9"/>
      <c r="B227" s="9"/>
      <c r="C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15.75" customHeight="1">
      <c r="A228" s="9"/>
      <c r="B228" s="9"/>
      <c r="C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t="15.75" customHeight="1">
      <c r="A229" s="9"/>
      <c r="B229" s="9"/>
      <c r="C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15.75" customHeight="1">
      <c r="A230" s="9"/>
      <c r="B230" s="9"/>
      <c r="C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t="15.75" customHeight="1">
      <c r="A231" s="9"/>
      <c r="B231" s="9"/>
      <c r="C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t="15.75" customHeight="1">
      <c r="A232" s="9"/>
      <c r="B232" s="9"/>
      <c r="C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ht="15.75" customHeight="1">
      <c r="A233" s="9"/>
      <c r="B233" s="9"/>
      <c r="C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ht="15.75" customHeight="1">
      <c r="A234" s="9"/>
      <c r="B234" s="9"/>
      <c r="C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ht="15.75" customHeight="1">
      <c r="A235" s="9"/>
      <c r="B235" s="9"/>
      <c r="C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ht="15.75" customHeight="1">
      <c r="A236" s="9"/>
      <c r="B236" s="9"/>
      <c r="C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ht="15.75" customHeight="1">
      <c r="A237" s="9"/>
      <c r="B237" s="9"/>
      <c r="C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15.75" customHeight="1">
      <c r="A238" s="9"/>
      <c r="B238" s="9"/>
      <c r="C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5.75" customHeight="1">
      <c r="A239" s="9"/>
      <c r="B239" s="9"/>
      <c r="C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5.75" customHeight="1">
      <c r="A240" s="9"/>
      <c r="B240" s="9"/>
      <c r="C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5.75" customHeight="1">
      <c r="A241" s="9"/>
      <c r="B241" s="9"/>
      <c r="C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5.75" customHeight="1">
      <c r="A242" s="9"/>
      <c r="B242" s="9"/>
      <c r="C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5.75" customHeight="1">
      <c r="A243" s="9"/>
      <c r="B243" s="9"/>
      <c r="C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5.75" customHeight="1">
      <c r="A244" s="9"/>
      <c r="B244" s="9"/>
      <c r="C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ht="15.75" customHeight="1">
      <c r="A245" s="9"/>
      <c r="B245" s="9"/>
      <c r="C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ht="15.75" customHeight="1">
      <c r="A246" s="9"/>
      <c r="B246" s="9"/>
      <c r="C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ht="15.75" customHeight="1">
      <c r="A247" s="9"/>
      <c r="B247" s="9"/>
      <c r="C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ht="15.75" customHeight="1">
      <c r="A248" s="9"/>
      <c r="B248" s="9"/>
      <c r="C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ht="15.75" customHeight="1">
      <c r="A249" s="9"/>
      <c r="B249" s="9"/>
      <c r="C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ht="15.75" customHeight="1">
      <c r="A250" s="9"/>
      <c r="B250" s="9"/>
      <c r="C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ht="15.75" customHeight="1">
      <c r="A251" s="9"/>
      <c r="B251" s="9"/>
      <c r="C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ht="15.75" customHeight="1">
      <c r="A252" s="9"/>
      <c r="B252" s="9"/>
      <c r="C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ht="15.75" customHeight="1">
      <c r="A253" s="9"/>
      <c r="B253" s="9"/>
      <c r="C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ht="15.75" customHeight="1">
      <c r="A254" s="9"/>
      <c r="B254" s="9"/>
      <c r="C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ht="15.75" customHeight="1">
      <c r="A255" s="9"/>
      <c r="B255" s="9"/>
      <c r="C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ht="15.75" customHeight="1">
      <c r="A256" s="9"/>
      <c r="B256" s="9"/>
      <c r="C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ht="15.75" customHeight="1">
      <c r="A257" s="9"/>
      <c r="B257" s="9"/>
      <c r="C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ht="15.75" customHeight="1">
      <c r="A258" s="9"/>
      <c r="B258" s="9"/>
      <c r="C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ht="15.75" customHeight="1">
      <c r="A259" s="9"/>
      <c r="B259" s="9"/>
      <c r="C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ht="15.75" customHeight="1">
      <c r="A260" s="9"/>
      <c r="B260" s="9"/>
      <c r="C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ht="15.75" customHeight="1">
      <c r="A261" s="9"/>
      <c r="B261" s="9"/>
      <c r="C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ht="15.75" customHeight="1">
      <c r="A262" s="9"/>
      <c r="B262" s="9"/>
      <c r="C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ht="15.75" customHeight="1">
      <c r="A263" s="9"/>
      <c r="B263" s="9"/>
      <c r="C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ht="15.75" customHeight="1">
      <c r="A264" s="9"/>
      <c r="B264" s="9"/>
      <c r="C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ht="15.75" customHeight="1">
      <c r="A265" s="9"/>
      <c r="B265" s="9"/>
      <c r="C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ht="15.75" customHeight="1">
      <c r="A266" s="9"/>
      <c r="B266" s="9"/>
      <c r="C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ht="15.75" customHeight="1">
      <c r="A267" s="9"/>
      <c r="B267" s="9"/>
      <c r="C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ht="15.75" customHeight="1">
      <c r="A268" s="9"/>
      <c r="B268" s="9"/>
      <c r="C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ht="15.75" customHeight="1">
      <c r="A269" s="9"/>
      <c r="B269" s="9"/>
      <c r="C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ht="15.75" customHeight="1">
      <c r="A270" s="9"/>
      <c r="B270" s="9"/>
      <c r="C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ht="15.75" customHeight="1">
      <c r="A271" s="9"/>
      <c r="B271" s="9"/>
      <c r="C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ht="15.75" customHeight="1">
      <c r="A272" s="9"/>
      <c r="B272" s="9"/>
      <c r="C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ht="15.75" customHeight="1">
      <c r="A273" s="9"/>
      <c r="B273" s="9"/>
      <c r="C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ht="15.75" customHeight="1">
      <c r="A274" s="9"/>
      <c r="B274" s="9"/>
      <c r="C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ht="15.75" customHeight="1">
      <c r="A275" s="9"/>
      <c r="B275" s="9"/>
      <c r="C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ht="15.75" customHeight="1">
      <c r="A276" s="9"/>
      <c r="B276" s="9"/>
      <c r="C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t="15.75" customHeight="1">
      <c r="A277" s="9"/>
      <c r="B277" s="9"/>
      <c r="C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t="15.75" customHeight="1">
      <c r="A278" s="9"/>
      <c r="B278" s="9"/>
      <c r="C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t="15.75" customHeight="1">
      <c r="A279" s="9"/>
      <c r="B279" s="9"/>
      <c r="C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t="15.75" customHeight="1">
      <c r="A280" s="9"/>
      <c r="B280" s="9"/>
      <c r="C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t="15.75" customHeight="1">
      <c r="A281" s="9"/>
      <c r="B281" s="9"/>
      <c r="C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t="15.75" customHeight="1">
      <c r="A282" s="9"/>
      <c r="B282" s="9"/>
      <c r="C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ht="15.75" customHeight="1">
      <c r="A283" s="9"/>
      <c r="B283" s="9"/>
      <c r="C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ht="15.75" customHeight="1">
      <c r="A284" s="9"/>
      <c r="B284" s="9"/>
      <c r="C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ht="15.75" customHeight="1">
      <c r="A285" s="9"/>
      <c r="B285" s="9"/>
      <c r="C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ht="15.75" customHeight="1">
      <c r="A286" s="9"/>
      <c r="B286" s="9"/>
      <c r="C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ht="15.75" customHeight="1">
      <c r="A287" s="9"/>
      <c r="B287" s="9"/>
      <c r="C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ht="15.75" customHeight="1">
      <c r="A288" s="9"/>
      <c r="B288" s="9"/>
      <c r="C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ht="15.75" customHeight="1">
      <c r="A289" s="9"/>
      <c r="B289" s="9"/>
      <c r="C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ht="15.75" customHeight="1">
      <c r="A290" s="9"/>
      <c r="B290" s="9"/>
      <c r="C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ht="15.75" customHeight="1">
      <c r="A291" s="9"/>
      <c r="B291" s="9"/>
      <c r="C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ht="15.75" customHeight="1">
      <c r="A292" s="9"/>
      <c r="B292" s="9"/>
      <c r="C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ht="15.75" customHeight="1">
      <c r="A293" s="9"/>
      <c r="B293" s="9"/>
      <c r="C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ht="15.75" customHeight="1">
      <c r="A294" s="9"/>
      <c r="B294" s="9"/>
      <c r="C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ht="15.75" customHeight="1">
      <c r="A295" s="9"/>
      <c r="B295" s="9"/>
      <c r="C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ht="15.75" customHeight="1">
      <c r="A296" s="9"/>
      <c r="B296" s="9"/>
      <c r="C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ht="15.75" customHeight="1">
      <c r="A297" s="9"/>
      <c r="B297" s="9"/>
      <c r="C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ht="15.75" customHeight="1">
      <c r="A298" s="9"/>
      <c r="B298" s="9"/>
      <c r="C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ht="15.75" customHeight="1">
      <c r="A299" s="9"/>
      <c r="B299" s="9"/>
      <c r="C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ht="15.75" customHeight="1">
      <c r="A300" s="9"/>
      <c r="B300" s="9"/>
      <c r="C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ht="15.75" customHeight="1">
      <c r="A301" s="9"/>
      <c r="B301" s="9"/>
      <c r="C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ht="15.75" customHeight="1">
      <c r="A302" s="9"/>
      <c r="B302" s="9"/>
      <c r="C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ht="15.75" customHeight="1">
      <c r="A303" s="9"/>
      <c r="B303" s="9"/>
      <c r="C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ht="15.75" customHeight="1">
      <c r="A304" s="9"/>
      <c r="B304" s="9"/>
      <c r="C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ht="15.75" customHeight="1">
      <c r="A305" s="9"/>
      <c r="B305" s="9"/>
      <c r="C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ht="15.75" customHeight="1">
      <c r="A306" s="9"/>
      <c r="B306" s="9"/>
      <c r="C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ht="15.75" customHeight="1">
      <c r="A307" s="9"/>
      <c r="B307" s="9"/>
      <c r="C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ht="15.75" customHeight="1">
      <c r="A308" s="9"/>
      <c r="B308" s="9"/>
      <c r="C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ht="15.75" customHeight="1">
      <c r="A309" s="9"/>
      <c r="B309" s="9"/>
      <c r="C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ht="15.75" customHeight="1">
      <c r="A310" s="9"/>
      <c r="B310" s="9"/>
      <c r="C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ht="15.75" customHeight="1">
      <c r="A311" s="9"/>
      <c r="B311" s="9"/>
      <c r="C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ht="15.75" customHeight="1">
      <c r="A312" s="9"/>
      <c r="B312" s="9"/>
      <c r="C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ht="15.75" customHeight="1">
      <c r="A313" s="9"/>
      <c r="B313" s="9"/>
      <c r="C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ht="15.75" customHeight="1">
      <c r="A314" s="9"/>
      <c r="B314" s="9"/>
      <c r="C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ht="15.75" customHeight="1">
      <c r="A315" s="9"/>
      <c r="B315" s="9"/>
      <c r="C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ht="15.75" customHeight="1">
      <c r="A316" s="9"/>
      <c r="B316" s="9"/>
      <c r="C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ht="15.75" customHeight="1">
      <c r="A317" s="9"/>
      <c r="B317" s="9"/>
      <c r="C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ht="15.75" customHeight="1">
      <c r="A318" s="9"/>
      <c r="B318" s="9"/>
      <c r="C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ht="15.75" customHeight="1">
      <c r="A319" s="9"/>
      <c r="B319" s="9"/>
      <c r="C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ht="15.75" customHeight="1">
      <c r="A320" s="9"/>
      <c r="B320" s="9"/>
      <c r="C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ht="15.75" customHeight="1">
      <c r="A321" s="9"/>
      <c r="B321" s="9"/>
      <c r="C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ht="15.75" customHeight="1">
      <c r="A322" s="9"/>
      <c r="B322" s="9"/>
      <c r="C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ht="15.75" customHeight="1">
      <c r="A323" s="9"/>
      <c r="B323" s="9"/>
      <c r="C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ht="15.75" customHeight="1">
      <c r="A324" s="9"/>
      <c r="B324" s="9"/>
      <c r="C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ht="15.75" customHeight="1">
      <c r="A325" s="9"/>
      <c r="B325" s="9"/>
      <c r="C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ht="15.75" customHeight="1">
      <c r="A326" s="9"/>
      <c r="B326" s="9"/>
      <c r="C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ht="15.75" customHeight="1">
      <c r="A327" s="9"/>
      <c r="B327" s="9"/>
      <c r="C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ht="15.75" customHeight="1">
      <c r="A328" s="9"/>
      <c r="B328" s="9"/>
      <c r="C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ht="15.75" customHeight="1">
      <c r="A329" s="9"/>
      <c r="B329" s="9"/>
      <c r="C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ht="15.75" customHeight="1">
      <c r="A330" s="9"/>
      <c r="B330" s="9"/>
      <c r="C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ht="15.75" customHeight="1">
      <c r="A331" s="9"/>
      <c r="B331" s="9"/>
      <c r="C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ht="15.75" customHeight="1">
      <c r="A332" s="9"/>
      <c r="B332" s="9"/>
      <c r="C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ht="15.75" customHeight="1">
      <c r="A333" s="9"/>
      <c r="B333" s="9"/>
      <c r="C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ht="15.75" customHeight="1">
      <c r="A334" s="9"/>
      <c r="B334" s="9"/>
      <c r="C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ht="15.75" customHeight="1">
      <c r="A335" s="9"/>
      <c r="B335" s="9"/>
      <c r="C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ht="15.75" customHeight="1">
      <c r="A336" s="9"/>
      <c r="B336" s="9"/>
      <c r="C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ht="15.75" customHeight="1">
      <c r="A337" s="9"/>
      <c r="B337" s="9"/>
      <c r="C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ht="15.75" customHeight="1">
      <c r="A338" s="9"/>
      <c r="B338" s="9"/>
      <c r="C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ht="15.75" customHeight="1">
      <c r="A339" s="9"/>
      <c r="B339" s="9"/>
      <c r="C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ht="15.75" customHeight="1">
      <c r="A340" s="9"/>
      <c r="B340" s="9"/>
      <c r="C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ht="15.75" customHeight="1">
      <c r="A341" s="9"/>
      <c r="B341" s="9"/>
      <c r="C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ht="15.75" customHeight="1">
      <c r="A342" s="9"/>
      <c r="B342" s="9"/>
      <c r="C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ht="15.75" customHeight="1">
      <c r="A343" s="9"/>
      <c r="B343" s="9"/>
      <c r="C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ht="15.75" customHeight="1">
      <c r="A344" s="9"/>
      <c r="B344" s="9"/>
      <c r="C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ht="15.75" customHeight="1">
      <c r="A345" s="9"/>
      <c r="B345" s="9"/>
      <c r="C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ht="15.75" customHeight="1">
      <c r="A346" s="9"/>
      <c r="B346" s="9"/>
      <c r="C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ht="15.75" customHeight="1">
      <c r="A347" s="9"/>
      <c r="B347" s="9"/>
      <c r="C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ht="15.75" customHeight="1">
      <c r="A348" s="9"/>
      <c r="B348" s="9"/>
      <c r="C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ht="15.75" customHeight="1">
      <c r="A349" s="9"/>
      <c r="B349" s="9"/>
      <c r="C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ht="15.75" customHeight="1">
      <c r="A350" s="9"/>
      <c r="B350" s="9"/>
      <c r="C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ht="15.75" customHeight="1">
      <c r="A351" s="9"/>
      <c r="B351" s="9"/>
      <c r="C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ht="15.75" customHeight="1">
      <c r="A352" s="9"/>
      <c r="B352" s="9"/>
      <c r="C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ht="15.75" customHeight="1">
      <c r="A353" s="9"/>
      <c r="B353" s="9"/>
      <c r="C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ht="15.75" customHeight="1">
      <c r="A354" s="9"/>
      <c r="B354" s="9"/>
      <c r="C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ht="15.75" customHeight="1">
      <c r="A355" s="9"/>
      <c r="B355" s="9"/>
      <c r="C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ht="15.75" customHeight="1">
      <c r="A356" s="9"/>
      <c r="B356" s="9"/>
      <c r="C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ht="15.75" customHeight="1">
      <c r="A357" s="9"/>
      <c r="B357" s="9"/>
      <c r="C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ht="15.75" customHeight="1">
      <c r="A358" s="9"/>
      <c r="B358" s="9"/>
      <c r="C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ht="15.75" customHeight="1">
      <c r="A359" s="9"/>
      <c r="B359" s="9"/>
      <c r="C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ht="15.75" customHeight="1">
      <c r="A360" s="9"/>
      <c r="B360" s="9"/>
      <c r="C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ht="15.75" customHeight="1">
      <c r="A361" s="9"/>
      <c r="B361" s="9"/>
      <c r="C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ht="15.75" customHeight="1">
      <c r="A362" s="9"/>
      <c r="B362" s="9"/>
      <c r="C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ht="15.75" customHeight="1">
      <c r="A363" s="9"/>
      <c r="B363" s="9"/>
      <c r="C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ht="15.75" customHeight="1">
      <c r="A364" s="9"/>
      <c r="B364" s="9"/>
      <c r="C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ht="15.75" customHeight="1">
      <c r="A365" s="9"/>
      <c r="B365" s="9"/>
      <c r="C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ht="15.75" customHeight="1">
      <c r="A366" s="9"/>
      <c r="B366" s="9"/>
      <c r="C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ht="15.75" customHeight="1">
      <c r="A367" s="9"/>
      <c r="B367" s="9"/>
      <c r="C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ht="15.75" customHeight="1">
      <c r="A368" s="9"/>
      <c r="B368" s="9"/>
      <c r="C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ht="15.75" customHeight="1">
      <c r="A369" s="9"/>
      <c r="B369" s="9"/>
      <c r="C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ht="15.75" customHeight="1">
      <c r="A370" s="9"/>
      <c r="B370" s="9"/>
      <c r="C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ht="15.75" customHeight="1">
      <c r="A371" s="9"/>
      <c r="B371" s="9"/>
      <c r="C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ht="15.75" customHeight="1">
      <c r="A372" s="9"/>
      <c r="B372" s="9"/>
      <c r="C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ht="15.75" customHeight="1">
      <c r="A373" s="9"/>
      <c r="B373" s="9"/>
      <c r="C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ht="15.75" customHeight="1">
      <c r="A374" s="9"/>
      <c r="B374" s="9"/>
      <c r="C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ht="15.75" customHeight="1">
      <c r="A375" s="9"/>
      <c r="B375" s="9"/>
      <c r="C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ht="15.75" customHeight="1">
      <c r="A376" s="9"/>
      <c r="B376" s="9"/>
      <c r="C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ht="15.75" customHeight="1">
      <c r="A377" s="9"/>
      <c r="B377" s="9"/>
      <c r="C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ht="15.75" customHeight="1">
      <c r="A378" s="9"/>
      <c r="B378" s="9"/>
      <c r="C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ht="15.75" customHeight="1">
      <c r="A379" s="9"/>
      <c r="B379" s="9"/>
      <c r="C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ht="15.75" customHeight="1">
      <c r="A380" s="9"/>
      <c r="B380" s="9"/>
      <c r="C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ht="15.75" customHeight="1">
      <c r="A381" s="9"/>
      <c r="B381" s="9"/>
      <c r="C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ht="15.75" customHeight="1">
      <c r="A382" s="9"/>
      <c r="B382" s="9"/>
      <c r="C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ht="15.75" customHeight="1">
      <c r="A383" s="9"/>
      <c r="B383" s="9"/>
      <c r="C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ht="15.75" customHeight="1">
      <c r="A384" s="9"/>
      <c r="B384" s="9"/>
      <c r="C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ht="15.75" customHeight="1">
      <c r="A385" s="9"/>
      <c r="B385" s="9"/>
      <c r="C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ht="15.75" customHeight="1">
      <c r="A386" s="9"/>
      <c r="B386" s="9"/>
      <c r="C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ht="15.75" customHeight="1">
      <c r="A387" s="9"/>
      <c r="B387" s="9"/>
      <c r="C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ht="15.75" customHeight="1">
      <c r="A388" s="9"/>
      <c r="B388" s="9"/>
      <c r="C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ht="15.75" customHeight="1">
      <c r="A389" s="9"/>
      <c r="B389" s="9"/>
      <c r="C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ht="15.75" customHeight="1">
      <c r="A390" s="9"/>
      <c r="B390" s="9"/>
      <c r="C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ht="15.75" customHeight="1">
      <c r="A391" s="9"/>
      <c r="B391" s="9"/>
      <c r="C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ht="15.75" customHeight="1">
      <c r="A392" s="9"/>
      <c r="B392" s="9"/>
      <c r="C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ht="15.75" customHeight="1">
      <c r="A393" s="9"/>
      <c r="B393" s="9"/>
      <c r="C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ht="15.75" customHeight="1">
      <c r="A394" s="9"/>
      <c r="B394" s="9"/>
      <c r="C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ht="15.75" customHeight="1">
      <c r="A395" s="9"/>
      <c r="B395" s="9"/>
      <c r="C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ht="15.75" customHeight="1">
      <c r="A396" s="9"/>
      <c r="B396" s="9"/>
      <c r="C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ht="15.75" customHeight="1">
      <c r="A397" s="9"/>
      <c r="B397" s="9"/>
      <c r="C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ht="15.75" customHeight="1">
      <c r="A398" s="9"/>
      <c r="B398" s="9"/>
      <c r="C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ht="15.75" customHeight="1">
      <c r="A399" s="9"/>
      <c r="B399" s="9"/>
      <c r="C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ht="15.75" customHeight="1">
      <c r="A400" s="9"/>
      <c r="B400" s="9"/>
      <c r="C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ht="15.75" customHeight="1">
      <c r="A401" s="9"/>
      <c r="B401" s="9"/>
      <c r="C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ht="15.75" customHeight="1">
      <c r="A402" s="9"/>
      <c r="B402" s="9"/>
      <c r="C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ht="15.75" customHeight="1">
      <c r="A403" s="9"/>
      <c r="B403" s="9"/>
      <c r="C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ht="15.75" customHeight="1">
      <c r="A404" s="9"/>
      <c r="B404" s="9"/>
      <c r="C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ht="15.75" customHeight="1">
      <c r="A405" s="9"/>
      <c r="B405" s="9"/>
      <c r="C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ht="15.75" customHeight="1">
      <c r="A406" s="9"/>
      <c r="B406" s="9"/>
      <c r="C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ht="15.75" customHeight="1">
      <c r="A407" s="9"/>
      <c r="B407" s="9"/>
      <c r="C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ht="15.75" customHeight="1">
      <c r="A408" s="9"/>
      <c r="B408" s="9"/>
      <c r="C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ht="15.75" customHeight="1">
      <c r="A409" s="9"/>
      <c r="B409" s="9"/>
      <c r="C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ht="15.75" customHeight="1">
      <c r="A410" s="9"/>
      <c r="B410" s="9"/>
      <c r="C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ht="15.75" customHeight="1">
      <c r="A411" s="9"/>
      <c r="B411" s="9"/>
      <c r="C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ht="15.75" customHeight="1">
      <c r="A412" s="9"/>
      <c r="B412" s="9"/>
      <c r="C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ht="15.75" customHeight="1">
      <c r="A413" s="9"/>
      <c r="B413" s="9"/>
      <c r="C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ht="15.75" customHeight="1">
      <c r="A414" s="9"/>
      <c r="B414" s="9"/>
      <c r="C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ht="15.75" customHeight="1">
      <c r="A415" s="9"/>
      <c r="B415" s="9"/>
      <c r="C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ht="15.75" customHeight="1">
      <c r="A416" s="9"/>
      <c r="B416" s="9"/>
      <c r="C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ht="15.75" customHeight="1">
      <c r="A417" s="9"/>
      <c r="B417" s="9"/>
      <c r="C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ht="15.75" customHeight="1">
      <c r="A418" s="9"/>
      <c r="B418" s="9"/>
      <c r="C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ht="15.75" customHeight="1">
      <c r="A419" s="9"/>
      <c r="B419" s="9"/>
      <c r="C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ht="15.75" customHeight="1">
      <c r="A420" s="9"/>
      <c r="B420" s="9"/>
      <c r="C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ht="15.75" customHeight="1">
      <c r="A421" s="9"/>
      <c r="B421" s="9"/>
      <c r="C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ht="15.75" customHeight="1">
      <c r="A422" s="9"/>
      <c r="B422" s="9"/>
      <c r="C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ht="15.75" customHeight="1">
      <c r="A423" s="9"/>
      <c r="B423" s="9"/>
      <c r="C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ht="15.75" customHeight="1">
      <c r="A424" s="9"/>
      <c r="B424" s="9"/>
      <c r="C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ht="15.75" customHeight="1">
      <c r="A425" s="9"/>
      <c r="B425" s="9"/>
      <c r="C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ht="15.75" customHeight="1">
      <c r="A426" s="9"/>
      <c r="B426" s="9"/>
      <c r="C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ht="15.75" customHeight="1">
      <c r="A427" s="9"/>
      <c r="B427" s="9"/>
      <c r="C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ht="15.75" customHeight="1">
      <c r="A428" s="9"/>
      <c r="B428" s="9"/>
      <c r="C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ht="15.75" customHeight="1">
      <c r="A429" s="9"/>
      <c r="B429" s="9"/>
      <c r="C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ht="15.75" customHeight="1">
      <c r="A430" s="9"/>
      <c r="B430" s="9"/>
      <c r="C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ht="15.75" customHeight="1">
      <c r="A431" s="9"/>
      <c r="B431" s="9"/>
      <c r="C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ht="15.75" customHeight="1">
      <c r="A432" s="9"/>
      <c r="B432" s="9"/>
      <c r="C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ht="15.75" customHeight="1">
      <c r="A433" s="9"/>
      <c r="B433" s="9"/>
      <c r="C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ht="15.75" customHeight="1">
      <c r="A434" s="9"/>
      <c r="B434" s="9"/>
      <c r="C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ht="15.75" customHeight="1">
      <c r="A435" s="9"/>
      <c r="B435" s="9"/>
      <c r="C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ht="15.75" customHeight="1">
      <c r="A436" s="9"/>
      <c r="B436" s="9"/>
      <c r="C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ht="15.75" customHeight="1">
      <c r="A437" s="9"/>
      <c r="B437" s="9"/>
      <c r="C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ht="15.75" customHeight="1">
      <c r="A438" s="9"/>
      <c r="B438" s="9"/>
      <c r="C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ht="15.75" customHeight="1">
      <c r="A439" s="9"/>
      <c r="B439" s="9"/>
      <c r="C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ht="15.75" customHeight="1">
      <c r="A440" s="9"/>
      <c r="B440" s="9"/>
      <c r="C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ht="15.75" customHeight="1">
      <c r="A441" s="9"/>
      <c r="B441" s="9"/>
      <c r="C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ht="15.75" customHeight="1">
      <c r="A442" s="9"/>
      <c r="B442" s="9"/>
      <c r="C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ht="15.75" customHeight="1">
      <c r="A443" s="9"/>
      <c r="B443" s="9"/>
      <c r="C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ht="15.75" customHeight="1">
      <c r="A444" s="9"/>
      <c r="B444" s="9"/>
      <c r="C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ht="15.75" customHeight="1">
      <c r="A445" s="9"/>
      <c r="B445" s="9"/>
      <c r="C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ht="15.75" customHeight="1">
      <c r="A446" s="9"/>
      <c r="B446" s="9"/>
      <c r="C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ht="15.75" customHeight="1">
      <c r="A447" s="9"/>
      <c r="B447" s="9"/>
      <c r="C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ht="15.75" customHeight="1">
      <c r="A448" s="9"/>
      <c r="B448" s="9"/>
      <c r="C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ht="15.75" customHeight="1">
      <c r="A449" s="9"/>
      <c r="B449" s="9"/>
      <c r="C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ht="15.75" customHeight="1">
      <c r="A450" s="9"/>
      <c r="B450" s="9"/>
      <c r="C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ht="15.75" customHeight="1">
      <c r="A451" s="9"/>
      <c r="B451" s="9"/>
      <c r="C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ht="15.75" customHeight="1">
      <c r="A452" s="9"/>
      <c r="B452" s="9"/>
      <c r="C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ht="15.75" customHeight="1">
      <c r="A453" s="9"/>
      <c r="B453" s="9"/>
      <c r="C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ht="15.75" customHeight="1">
      <c r="A454" s="9"/>
      <c r="B454" s="9"/>
      <c r="C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ht="15.75" customHeight="1">
      <c r="A455" s="9"/>
      <c r="B455" s="9"/>
      <c r="C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ht="15.75" customHeight="1">
      <c r="A456" s="9"/>
      <c r="B456" s="9"/>
      <c r="C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ht="15.75" customHeight="1">
      <c r="A457" s="9"/>
      <c r="B457" s="9"/>
      <c r="C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ht="15.75" customHeight="1">
      <c r="A458" s="9"/>
      <c r="B458" s="9"/>
      <c r="C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ht="15.75" customHeight="1">
      <c r="A459" s="9"/>
      <c r="B459" s="9"/>
      <c r="C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ht="15.75" customHeight="1">
      <c r="A460" s="9"/>
      <c r="B460" s="9"/>
      <c r="C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ht="15.75" customHeight="1">
      <c r="A461" s="9"/>
      <c r="B461" s="9"/>
      <c r="C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ht="15.75" customHeight="1">
      <c r="A462" s="9"/>
      <c r="B462" s="9"/>
      <c r="C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ht="15.75" customHeight="1">
      <c r="A463" s="9"/>
      <c r="B463" s="9"/>
      <c r="C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ht="15.75" customHeight="1">
      <c r="A464" s="9"/>
      <c r="B464" s="9"/>
      <c r="C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ht="15.75" customHeight="1">
      <c r="A465" s="9"/>
      <c r="B465" s="9"/>
      <c r="C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ht="15.75" customHeight="1">
      <c r="A466" s="9"/>
      <c r="B466" s="9"/>
      <c r="C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ht="15.75" customHeight="1">
      <c r="A467" s="9"/>
      <c r="B467" s="9"/>
      <c r="C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ht="15.75" customHeight="1">
      <c r="A468" s="9"/>
      <c r="B468" s="9"/>
      <c r="C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ht="15.75" customHeight="1">
      <c r="A469" s="9"/>
      <c r="B469" s="9"/>
      <c r="C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ht="15.75" customHeight="1">
      <c r="A470" s="9"/>
      <c r="B470" s="9"/>
      <c r="C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ht="15.75" customHeight="1">
      <c r="A471" s="9"/>
      <c r="B471" s="9"/>
      <c r="C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ht="15.75" customHeight="1">
      <c r="A472" s="9"/>
      <c r="B472" s="9"/>
      <c r="C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ht="15.75" customHeight="1">
      <c r="A473" s="9"/>
      <c r="B473" s="9"/>
      <c r="C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ht="15.75" customHeight="1">
      <c r="A474" s="9"/>
      <c r="B474" s="9"/>
      <c r="C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ht="15.75" customHeight="1">
      <c r="A475" s="9"/>
      <c r="B475" s="9"/>
      <c r="C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ht="15.75" customHeight="1">
      <c r="A476" s="9"/>
      <c r="B476" s="9"/>
      <c r="C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ht="15.75" customHeight="1">
      <c r="A477" s="9"/>
      <c r="B477" s="9"/>
      <c r="C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ht="15.75" customHeight="1">
      <c r="A478" s="9"/>
      <c r="B478" s="9"/>
      <c r="C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ht="15.75" customHeight="1">
      <c r="A479" s="9"/>
      <c r="B479" s="9"/>
      <c r="C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ht="15.75" customHeight="1">
      <c r="A480" s="9"/>
      <c r="B480" s="9"/>
      <c r="C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ht="15.75" customHeight="1">
      <c r="A481" s="9"/>
      <c r="B481" s="9"/>
      <c r="C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ht="15.75" customHeight="1">
      <c r="A482" s="9"/>
      <c r="B482" s="9"/>
      <c r="C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ht="15.75" customHeight="1">
      <c r="A483" s="9"/>
      <c r="B483" s="9"/>
      <c r="C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ht="15.75" customHeight="1">
      <c r="A484" s="9"/>
      <c r="B484" s="9"/>
      <c r="C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ht="15.75" customHeight="1">
      <c r="A485" s="9"/>
      <c r="B485" s="9"/>
      <c r="C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ht="15.75" customHeight="1">
      <c r="A486" s="9"/>
      <c r="B486" s="9"/>
      <c r="C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ht="15.75" customHeight="1">
      <c r="A487" s="9"/>
      <c r="B487" s="9"/>
      <c r="C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ht="15.75" customHeight="1">
      <c r="A488" s="9"/>
      <c r="B488" s="9"/>
      <c r="C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ht="15.75" customHeight="1">
      <c r="A489" s="9"/>
      <c r="B489" s="9"/>
      <c r="C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ht="15.75" customHeight="1">
      <c r="A490" s="9"/>
      <c r="B490" s="9"/>
      <c r="C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ht="15.75" customHeight="1">
      <c r="A491" s="9"/>
      <c r="B491" s="9"/>
      <c r="C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ht="15.75" customHeight="1">
      <c r="A492" s="9"/>
      <c r="B492" s="9"/>
      <c r="C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ht="15.75" customHeight="1">
      <c r="A493" s="9"/>
      <c r="B493" s="9"/>
      <c r="C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ht="15.75" customHeight="1">
      <c r="A494" s="9"/>
      <c r="B494" s="9"/>
      <c r="C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ht="15.75" customHeight="1">
      <c r="A495" s="9"/>
      <c r="B495" s="9"/>
      <c r="C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ht="15.75" customHeight="1">
      <c r="A496" s="9"/>
      <c r="B496" s="9"/>
      <c r="C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ht="15.75" customHeight="1">
      <c r="A497" s="9"/>
      <c r="B497" s="9"/>
      <c r="C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ht="15.75" customHeight="1">
      <c r="A498" s="9"/>
      <c r="B498" s="9"/>
      <c r="C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ht="15.75" customHeight="1">
      <c r="A499" s="9"/>
      <c r="B499" s="9"/>
      <c r="C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ht="15.75" customHeight="1">
      <c r="A500" s="9"/>
      <c r="B500" s="9"/>
      <c r="C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ht="15.75" customHeight="1">
      <c r="A501" s="9"/>
      <c r="B501" s="9"/>
      <c r="C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ht="15.75" customHeight="1">
      <c r="A502" s="9"/>
      <c r="B502" s="9"/>
      <c r="C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ht="15.75" customHeight="1">
      <c r="A503" s="9"/>
      <c r="B503" s="9"/>
      <c r="C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ht="15.75" customHeight="1">
      <c r="A504" s="9"/>
      <c r="B504" s="9"/>
      <c r="C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ht="15.75" customHeight="1">
      <c r="A505" s="9"/>
      <c r="B505" s="9"/>
      <c r="C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ht="15.75" customHeight="1">
      <c r="A506" s="9"/>
      <c r="B506" s="9"/>
      <c r="C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ht="15.75" customHeight="1">
      <c r="A507" s="9"/>
      <c r="B507" s="9"/>
      <c r="C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ht="15.75" customHeight="1">
      <c r="A508" s="9"/>
      <c r="B508" s="9"/>
      <c r="C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ht="15.75" customHeight="1">
      <c r="A509" s="9"/>
      <c r="B509" s="9"/>
      <c r="C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ht="15.75" customHeight="1">
      <c r="A510" s="9"/>
      <c r="B510" s="9"/>
      <c r="C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ht="15.75" customHeight="1">
      <c r="A511" s="9"/>
      <c r="B511" s="9"/>
      <c r="C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ht="15.75" customHeight="1">
      <c r="A512" s="9"/>
      <c r="B512" s="9"/>
      <c r="C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ht="15.75" customHeight="1">
      <c r="A513" s="9"/>
      <c r="B513" s="9"/>
      <c r="C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ht="15.75" customHeight="1">
      <c r="A514" s="9"/>
      <c r="B514" s="9"/>
      <c r="C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ht="15.75" customHeight="1">
      <c r="A515" s="9"/>
      <c r="B515" s="9"/>
      <c r="C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ht="15.75" customHeight="1">
      <c r="A516" s="9"/>
      <c r="B516" s="9"/>
      <c r="C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ht="15.75" customHeight="1">
      <c r="A517" s="9"/>
      <c r="B517" s="9"/>
      <c r="C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ht="15.75" customHeight="1">
      <c r="A518" s="9"/>
      <c r="B518" s="9"/>
      <c r="C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ht="15.75" customHeight="1">
      <c r="A519" s="9"/>
      <c r="B519" s="9"/>
      <c r="C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ht="15.75" customHeight="1">
      <c r="A520" s="9"/>
      <c r="B520" s="9"/>
      <c r="C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ht="15.75" customHeight="1">
      <c r="A521" s="9"/>
      <c r="B521" s="9"/>
      <c r="C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ht="15.75" customHeight="1">
      <c r="A522" s="9"/>
      <c r="B522" s="9"/>
      <c r="C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ht="15.75" customHeight="1">
      <c r="A523" s="9"/>
      <c r="B523" s="9"/>
      <c r="C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ht="15.75" customHeight="1">
      <c r="A524" s="9"/>
      <c r="B524" s="9"/>
      <c r="C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ht="15.75" customHeight="1">
      <c r="A525" s="9"/>
      <c r="B525" s="9"/>
      <c r="C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ht="15.75" customHeight="1">
      <c r="A526" s="9"/>
      <c r="B526" s="9"/>
      <c r="C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ht="15.75" customHeight="1">
      <c r="A527" s="9"/>
      <c r="B527" s="9"/>
      <c r="C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ht="15.75" customHeight="1">
      <c r="A528" s="9"/>
      <c r="B528" s="9"/>
      <c r="C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ht="15.75" customHeight="1">
      <c r="A529" s="9"/>
      <c r="B529" s="9"/>
      <c r="C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ht="15.75" customHeight="1">
      <c r="A530" s="9"/>
      <c r="B530" s="9"/>
      <c r="C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ht="15.75" customHeight="1">
      <c r="A531" s="9"/>
      <c r="B531" s="9"/>
      <c r="C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ht="15.75" customHeight="1">
      <c r="A532" s="9"/>
      <c r="B532" s="9"/>
      <c r="C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ht="15.75" customHeight="1">
      <c r="A533" s="9"/>
      <c r="B533" s="9"/>
      <c r="C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ht="15.75" customHeight="1">
      <c r="A534" s="9"/>
      <c r="B534" s="9"/>
      <c r="C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ht="15.75" customHeight="1">
      <c r="A535" s="9"/>
      <c r="B535" s="9"/>
      <c r="C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ht="15.75" customHeight="1">
      <c r="A536" s="9"/>
      <c r="B536" s="9"/>
      <c r="C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ht="15.75" customHeight="1">
      <c r="A537" s="9"/>
      <c r="B537" s="9"/>
      <c r="C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ht="15.75" customHeight="1">
      <c r="A538" s="9"/>
      <c r="B538" s="9"/>
      <c r="C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ht="15.75" customHeight="1">
      <c r="A539" s="9"/>
      <c r="B539" s="9"/>
      <c r="C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ht="15.75" customHeight="1">
      <c r="A540" s="9"/>
      <c r="B540" s="9"/>
      <c r="C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ht="15.75" customHeight="1">
      <c r="A541" s="9"/>
      <c r="B541" s="9"/>
      <c r="C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ht="15.75" customHeight="1">
      <c r="A542" s="9"/>
      <c r="B542" s="9"/>
      <c r="C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ht="15.75" customHeight="1">
      <c r="A543" s="9"/>
      <c r="B543" s="9"/>
      <c r="C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ht="15.75" customHeight="1">
      <c r="A544" s="9"/>
      <c r="B544" s="9"/>
      <c r="C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ht="15.75" customHeight="1">
      <c r="A545" s="9"/>
      <c r="B545" s="9"/>
      <c r="C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ht="15.75" customHeight="1">
      <c r="A546" s="9"/>
      <c r="B546" s="9"/>
      <c r="C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ht="15.75" customHeight="1">
      <c r="A547" s="9"/>
      <c r="B547" s="9"/>
      <c r="C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ht="15.75" customHeight="1">
      <c r="A548" s="9"/>
      <c r="B548" s="9"/>
      <c r="C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ht="15.75" customHeight="1">
      <c r="A549" s="9"/>
      <c r="B549" s="9"/>
      <c r="C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ht="15.75" customHeight="1">
      <c r="A550" s="9"/>
      <c r="B550" s="9"/>
      <c r="C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ht="15.75" customHeight="1">
      <c r="A551" s="9"/>
      <c r="B551" s="9"/>
      <c r="C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ht="15.75" customHeight="1">
      <c r="A552" s="9"/>
      <c r="B552" s="9"/>
      <c r="C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ht="15.75" customHeight="1">
      <c r="A553" s="9"/>
      <c r="B553" s="9"/>
      <c r="C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ht="15.75" customHeight="1">
      <c r="A554" s="9"/>
      <c r="B554" s="9"/>
      <c r="C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ht="15.75" customHeight="1">
      <c r="A555" s="9"/>
      <c r="B555" s="9"/>
      <c r="C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ht="15.75" customHeight="1">
      <c r="A556" s="9"/>
      <c r="B556" s="9"/>
      <c r="C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ht="15.75" customHeight="1">
      <c r="A557" s="9"/>
      <c r="B557" s="9"/>
      <c r="C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ht="15.75" customHeight="1">
      <c r="A558" s="9"/>
      <c r="B558" s="9"/>
      <c r="C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ht="15.75" customHeight="1">
      <c r="A559" s="9"/>
      <c r="B559" s="9"/>
      <c r="C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ht="15.75" customHeight="1">
      <c r="A560" s="9"/>
      <c r="B560" s="9"/>
      <c r="C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ht="15.75" customHeight="1">
      <c r="A561" s="9"/>
      <c r="B561" s="9"/>
      <c r="C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ht="15.75" customHeight="1">
      <c r="A562" s="9"/>
      <c r="B562" s="9"/>
      <c r="C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ht="15.75" customHeight="1">
      <c r="A563" s="9"/>
      <c r="B563" s="9"/>
      <c r="C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ht="15.75" customHeight="1">
      <c r="A564" s="9"/>
      <c r="B564" s="9"/>
      <c r="C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ht="15.75" customHeight="1">
      <c r="A565" s="9"/>
      <c r="B565" s="9"/>
      <c r="C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ht="15.75" customHeight="1">
      <c r="A566" s="9"/>
      <c r="B566" s="9"/>
      <c r="C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ht="15.75" customHeight="1">
      <c r="A567" s="9"/>
      <c r="B567" s="9"/>
      <c r="C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ht="15.75" customHeight="1">
      <c r="A568" s="9"/>
      <c r="B568" s="9"/>
      <c r="C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ht="15.75" customHeight="1">
      <c r="A569" s="9"/>
      <c r="B569" s="9"/>
      <c r="C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ht="15.75" customHeight="1">
      <c r="A570" s="9"/>
      <c r="B570" s="9"/>
      <c r="C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ht="15.75" customHeight="1">
      <c r="A571" s="9"/>
      <c r="B571" s="9"/>
      <c r="C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ht="15.75" customHeight="1">
      <c r="A572" s="9"/>
      <c r="B572" s="9"/>
      <c r="C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ht="15.75" customHeight="1">
      <c r="A573" s="9"/>
      <c r="B573" s="9"/>
      <c r="C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ht="15.75" customHeight="1">
      <c r="A574" s="9"/>
      <c r="B574" s="9"/>
      <c r="C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ht="15.75" customHeight="1">
      <c r="A575" s="9"/>
      <c r="B575" s="9"/>
      <c r="C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ht="15.75" customHeight="1">
      <c r="A576" s="9"/>
      <c r="B576" s="9"/>
      <c r="C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ht="15.75" customHeight="1">
      <c r="A577" s="9"/>
      <c r="B577" s="9"/>
      <c r="C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ht="15.75" customHeight="1">
      <c r="A578" s="9"/>
      <c r="B578" s="9"/>
      <c r="C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ht="15.75" customHeight="1">
      <c r="A579" s="9"/>
      <c r="B579" s="9"/>
      <c r="C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ht="15.75" customHeight="1">
      <c r="A580" s="9"/>
      <c r="B580" s="9"/>
      <c r="C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ht="15.75" customHeight="1">
      <c r="A581" s="9"/>
      <c r="B581" s="9"/>
      <c r="C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ht="15.75" customHeight="1">
      <c r="A582" s="9"/>
      <c r="B582" s="9"/>
      <c r="C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ht="15.75" customHeight="1">
      <c r="A583" s="9"/>
      <c r="B583" s="9"/>
      <c r="C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ht="15.75" customHeight="1">
      <c r="A584" s="9"/>
      <c r="B584" s="9"/>
      <c r="C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ht="15.75" customHeight="1">
      <c r="A585" s="9"/>
      <c r="B585" s="9"/>
      <c r="C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ht="15.75" customHeight="1">
      <c r="A586" s="9"/>
      <c r="B586" s="9"/>
      <c r="C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ht="15.75" customHeight="1">
      <c r="A587" s="9"/>
      <c r="B587" s="9"/>
      <c r="C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ht="15.75" customHeight="1">
      <c r="A588" s="9"/>
      <c r="B588" s="9"/>
      <c r="C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ht="15.75" customHeight="1">
      <c r="A589" s="9"/>
      <c r="B589" s="9"/>
      <c r="C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ht="15.75" customHeight="1">
      <c r="A590" s="9"/>
      <c r="B590" s="9"/>
      <c r="C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ht="15.75" customHeight="1">
      <c r="A591" s="9"/>
      <c r="B591" s="9"/>
      <c r="C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ht="15.75" customHeight="1">
      <c r="A592" s="9"/>
      <c r="B592" s="9"/>
      <c r="C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ht="15.75" customHeight="1">
      <c r="A593" s="9"/>
      <c r="B593" s="9"/>
      <c r="C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ht="15.75" customHeight="1">
      <c r="A594" s="9"/>
      <c r="B594" s="9"/>
      <c r="C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ht="15.75" customHeight="1">
      <c r="A595" s="9"/>
      <c r="B595" s="9"/>
      <c r="C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ht="15.75" customHeight="1">
      <c r="A596" s="9"/>
      <c r="B596" s="9"/>
      <c r="C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ht="15.75" customHeight="1">
      <c r="A597" s="9"/>
      <c r="B597" s="9"/>
      <c r="C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ht="15.75" customHeight="1">
      <c r="A598" s="9"/>
      <c r="B598" s="9"/>
      <c r="C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ht="15.75" customHeight="1">
      <c r="A599" s="9"/>
      <c r="B599" s="9"/>
      <c r="C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ht="15.75" customHeight="1">
      <c r="A600" s="9"/>
      <c r="B600" s="9"/>
      <c r="C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ht="15.75" customHeight="1">
      <c r="A601" s="9"/>
      <c r="B601" s="9"/>
      <c r="C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ht="15.75" customHeight="1">
      <c r="A602" s="9"/>
      <c r="B602" s="9"/>
      <c r="C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ht="15.75" customHeight="1">
      <c r="A603" s="9"/>
      <c r="B603" s="9"/>
      <c r="C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ht="15.75" customHeight="1">
      <c r="A604" s="9"/>
      <c r="B604" s="9"/>
      <c r="C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ht="15.75" customHeight="1">
      <c r="A605" s="9"/>
      <c r="B605" s="9"/>
      <c r="C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ht="15.75" customHeight="1">
      <c r="A606" s="9"/>
      <c r="B606" s="9"/>
      <c r="C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ht="15.75" customHeight="1">
      <c r="A607" s="9"/>
      <c r="B607" s="9"/>
      <c r="C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ht="15.75" customHeight="1">
      <c r="A608" s="9"/>
      <c r="B608" s="9"/>
      <c r="C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ht="15.75" customHeight="1">
      <c r="A609" s="9"/>
      <c r="B609" s="9"/>
      <c r="C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ht="15.75" customHeight="1">
      <c r="A610" s="9"/>
      <c r="B610" s="9"/>
      <c r="C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ht="15.75" customHeight="1">
      <c r="A611" s="9"/>
      <c r="B611" s="9"/>
      <c r="C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ht="15.75" customHeight="1">
      <c r="A612" s="9"/>
      <c r="B612" s="9"/>
      <c r="C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ht="15.75" customHeight="1">
      <c r="A613" s="9"/>
      <c r="B613" s="9"/>
      <c r="C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ht="15.75" customHeight="1">
      <c r="A614" s="9"/>
      <c r="B614" s="9"/>
      <c r="C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ht="15.75" customHeight="1">
      <c r="A615" s="9"/>
      <c r="B615" s="9"/>
      <c r="C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ht="15.75" customHeight="1">
      <c r="A616" s="9"/>
      <c r="B616" s="9"/>
      <c r="C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ht="15.75" customHeight="1">
      <c r="A617" s="9"/>
      <c r="B617" s="9"/>
      <c r="C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ht="15.75" customHeight="1">
      <c r="A618" s="9"/>
      <c r="B618" s="9"/>
      <c r="C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ht="15.75" customHeight="1">
      <c r="A619" s="9"/>
      <c r="B619" s="9"/>
      <c r="C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ht="15.75" customHeight="1">
      <c r="A620" s="9"/>
      <c r="B620" s="9"/>
      <c r="C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ht="15.75" customHeight="1">
      <c r="A621" s="9"/>
      <c r="B621" s="9"/>
      <c r="C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ht="15.75" customHeight="1">
      <c r="A622" s="9"/>
      <c r="B622" s="9"/>
      <c r="C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ht="15.75" customHeight="1">
      <c r="A623" s="9"/>
      <c r="B623" s="9"/>
      <c r="C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ht="15.75" customHeight="1">
      <c r="A624" s="9"/>
      <c r="B624" s="9"/>
      <c r="C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ht="15.75" customHeight="1">
      <c r="A625" s="9"/>
      <c r="B625" s="9"/>
      <c r="C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ht="15.75" customHeight="1">
      <c r="A626" s="9"/>
      <c r="B626" s="9"/>
      <c r="C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ht="15.75" customHeight="1">
      <c r="A627" s="9"/>
      <c r="B627" s="9"/>
      <c r="C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ht="15.75" customHeight="1">
      <c r="A628" s="9"/>
      <c r="B628" s="9"/>
      <c r="C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ht="15.75" customHeight="1">
      <c r="A629" s="9"/>
      <c r="B629" s="9"/>
      <c r="C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ht="15.75" customHeight="1">
      <c r="A630" s="9"/>
      <c r="B630" s="9"/>
      <c r="C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ht="15.75" customHeight="1">
      <c r="A631" s="9"/>
      <c r="B631" s="9"/>
      <c r="C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ht="15.75" customHeight="1">
      <c r="A632" s="9"/>
      <c r="B632" s="9"/>
      <c r="C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ht="15.75" customHeight="1">
      <c r="A633" s="9"/>
      <c r="B633" s="9"/>
      <c r="C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ht="15.75" customHeight="1">
      <c r="A634" s="9"/>
      <c r="B634" s="9"/>
      <c r="C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ht="15.75" customHeight="1">
      <c r="A635" s="9"/>
      <c r="B635" s="9"/>
      <c r="C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ht="15.75" customHeight="1">
      <c r="A636" s="9"/>
      <c r="B636" s="9"/>
      <c r="C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ht="15.75" customHeight="1">
      <c r="A637" s="9"/>
      <c r="B637" s="9"/>
      <c r="C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ht="15.75" customHeight="1">
      <c r="A638" s="9"/>
      <c r="B638" s="9"/>
      <c r="C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ht="15.75" customHeight="1">
      <c r="A639" s="9"/>
      <c r="B639" s="9"/>
      <c r="C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ht="15.75" customHeight="1">
      <c r="A640" s="9"/>
      <c r="B640" s="9"/>
      <c r="C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ht="15.75" customHeight="1">
      <c r="A641" s="9"/>
      <c r="B641" s="9"/>
      <c r="C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ht="15.75" customHeight="1">
      <c r="A642" s="9"/>
      <c r="B642" s="9"/>
      <c r="C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ht="15.75" customHeight="1">
      <c r="A643" s="9"/>
      <c r="B643" s="9"/>
      <c r="C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ht="15.75" customHeight="1">
      <c r="A644" s="9"/>
      <c r="B644" s="9"/>
      <c r="C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ht="15.75" customHeight="1">
      <c r="A645" s="9"/>
      <c r="B645" s="9"/>
      <c r="C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ht="15.75" customHeight="1">
      <c r="A646" s="9"/>
      <c r="B646" s="9"/>
      <c r="C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ht="15.75" customHeight="1">
      <c r="A647" s="9"/>
      <c r="B647" s="9"/>
      <c r="C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ht="15.75" customHeight="1">
      <c r="A648" s="9"/>
      <c r="B648" s="9"/>
      <c r="C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ht="15.75" customHeight="1">
      <c r="A649" s="9"/>
      <c r="B649" s="9"/>
      <c r="C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ht="15.75" customHeight="1">
      <c r="A650" s="9"/>
      <c r="B650" s="9"/>
      <c r="C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ht="15.75" customHeight="1">
      <c r="A651" s="9"/>
      <c r="B651" s="9"/>
      <c r="C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ht="15.75" customHeight="1">
      <c r="A652" s="9"/>
      <c r="B652" s="9"/>
      <c r="C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ht="15.75" customHeight="1">
      <c r="A653" s="9"/>
      <c r="B653" s="9"/>
      <c r="C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ht="15.75" customHeight="1">
      <c r="A654" s="9"/>
      <c r="B654" s="9"/>
      <c r="C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ht="15.75" customHeight="1">
      <c r="A655" s="9"/>
      <c r="B655" s="9"/>
      <c r="C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ht="15.75" customHeight="1">
      <c r="A656" s="9"/>
      <c r="B656" s="9"/>
      <c r="C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ht="15.75" customHeight="1">
      <c r="A657" s="9"/>
      <c r="B657" s="9"/>
      <c r="C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ht="15.75" customHeight="1">
      <c r="A658" s="9"/>
      <c r="B658" s="9"/>
      <c r="C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ht="15.75" customHeight="1">
      <c r="A659" s="9"/>
      <c r="B659" s="9"/>
      <c r="C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ht="15.75" customHeight="1">
      <c r="A660" s="9"/>
      <c r="B660" s="9"/>
      <c r="C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ht="15.75" customHeight="1">
      <c r="A661" s="9"/>
      <c r="B661" s="9"/>
      <c r="C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ht="15.75" customHeight="1">
      <c r="A662" s="9"/>
      <c r="B662" s="9"/>
      <c r="C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ht="15.75" customHeight="1">
      <c r="A663" s="9"/>
      <c r="B663" s="9"/>
      <c r="C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ht="15.75" customHeight="1">
      <c r="A664" s="9"/>
      <c r="B664" s="9"/>
      <c r="C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ht="15.75" customHeight="1">
      <c r="A665" s="9"/>
      <c r="B665" s="9"/>
      <c r="C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ht="15.75" customHeight="1">
      <c r="A666" s="9"/>
      <c r="B666" s="9"/>
      <c r="C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ht="15.75" customHeight="1">
      <c r="A667" s="9"/>
      <c r="B667" s="9"/>
      <c r="C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ht="15.75" customHeight="1">
      <c r="A668" s="9"/>
      <c r="B668" s="9"/>
      <c r="C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ht="15.75" customHeight="1">
      <c r="A669" s="9"/>
      <c r="B669" s="9"/>
      <c r="C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ht="15.75" customHeight="1">
      <c r="A670" s="9"/>
      <c r="B670" s="9"/>
      <c r="C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ht="15.75" customHeight="1">
      <c r="A671" s="9"/>
      <c r="B671" s="9"/>
      <c r="C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ht="15.75" customHeight="1">
      <c r="A672" s="9"/>
      <c r="B672" s="9"/>
      <c r="C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ht="15.75" customHeight="1">
      <c r="A673" s="9"/>
      <c r="B673" s="9"/>
      <c r="C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ht="15.75" customHeight="1">
      <c r="A674" s="9"/>
      <c r="B674" s="9"/>
      <c r="C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ht="15.75" customHeight="1">
      <c r="A675" s="9"/>
      <c r="B675" s="9"/>
      <c r="C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ht="15.75" customHeight="1">
      <c r="A676" s="9"/>
      <c r="B676" s="9"/>
      <c r="C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ht="15.75" customHeight="1">
      <c r="A677" s="9"/>
      <c r="B677" s="9"/>
      <c r="C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ht="15.75" customHeight="1">
      <c r="A678" s="9"/>
      <c r="B678" s="9"/>
      <c r="C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ht="15.75" customHeight="1">
      <c r="A679" s="9"/>
      <c r="B679" s="9"/>
      <c r="C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ht="15.75" customHeight="1">
      <c r="A680" s="9"/>
      <c r="B680" s="9"/>
      <c r="C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ht="15.75" customHeight="1">
      <c r="A681" s="9"/>
      <c r="B681" s="9"/>
      <c r="C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ht="15.75" customHeight="1">
      <c r="A682" s="9"/>
      <c r="B682" s="9"/>
      <c r="C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ht="15.75" customHeight="1">
      <c r="A683" s="9"/>
      <c r="B683" s="9"/>
      <c r="C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ht="15.75" customHeight="1">
      <c r="A684" s="9"/>
      <c r="B684" s="9"/>
      <c r="C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ht="15.75" customHeight="1">
      <c r="A685" s="9"/>
      <c r="B685" s="9"/>
      <c r="C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ht="15.75" customHeight="1">
      <c r="A686" s="9"/>
      <c r="B686" s="9"/>
      <c r="C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ht="15.75" customHeight="1">
      <c r="A687" s="9"/>
      <c r="B687" s="9"/>
      <c r="C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ht="15.75" customHeight="1">
      <c r="A688" s="9"/>
      <c r="B688" s="9"/>
      <c r="C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ht="15.75" customHeight="1">
      <c r="A689" s="9"/>
      <c r="B689" s="9"/>
      <c r="C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ht="15.75" customHeight="1">
      <c r="A690" s="9"/>
      <c r="B690" s="9"/>
      <c r="C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ht="15.75" customHeight="1">
      <c r="A691" s="9"/>
      <c r="B691" s="9"/>
      <c r="C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ht="15.75" customHeight="1">
      <c r="A692" s="9"/>
      <c r="B692" s="9"/>
      <c r="C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ht="15.75" customHeight="1">
      <c r="A693" s="9"/>
      <c r="B693" s="9"/>
      <c r="C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ht="15.75" customHeight="1">
      <c r="A694" s="9"/>
      <c r="B694" s="9"/>
      <c r="C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ht="15.75" customHeight="1">
      <c r="A695" s="9"/>
      <c r="B695" s="9"/>
      <c r="C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ht="15.75" customHeight="1">
      <c r="A696" s="9"/>
      <c r="B696" s="9"/>
      <c r="C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ht="15.75" customHeight="1">
      <c r="A697" s="9"/>
      <c r="B697" s="9"/>
      <c r="C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ht="15.75" customHeight="1">
      <c r="A698" s="9"/>
      <c r="B698" s="9"/>
      <c r="C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ht="15.75" customHeight="1">
      <c r="A699" s="9"/>
      <c r="B699" s="9"/>
      <c r="C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ht="15.75" customHeight="1">
      <c r="A700" s="9"/>
      <c r="B700" s="9"/>
      <c r="C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ht="15.75" customHeight="1">
      <c r="A701" s="9"/>
      <c r="B701" s="9"/>
      <c r="C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ht="15.75" customHeight="1">
      <c r="A702" s="9"/>
      <c r="B702" s="9"/>
      <c r="C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ht="15.75" customHeight="1">
      <c r="A703" s="9"/>
      <c r="B703" s="9"/>
      <c r="C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ht="15.75" customHeight="1">
      <c r="A704" s="9"/>
      <c r="B704" s="9"/>
      <c r="C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ht="15.75" customHeight="1">
      <c r="A705" s="9"/>
      <c r="B705" s="9"/>
      <c r="C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ht="15.75" customHeight="1">
      <c r="A706" s="9"/>
      <c r="B706" s="9"/>
      <c r="C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ht="15.75" customHeight="1">
      <c r="A707" s="9"/>
      <c r="B707" s="9"/>
      <c r="C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ht="15.75" customHeight="1">
      <c r="A708" s="9"/>
      <c r="B708" s="9"/>
      <c r="C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ht="15.75" customHeight="1">
      <c r="A709" s="9"/>
      <c r="B709" s="9"/>
      <c r="C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ht="15.75" customHeight="1">
      <c r="A710" s="9"/>
      <c r="B710" s="9"/>
      <c r="C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ht="15.75" customHeight="1">
      <c r="A711" s="9"/>
      <c r="B711" s="9"/>
      <c r="C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ht="15.75" customHeight="1">
      <c r="A712" s="9"/>
      <c r="B712" s="9"/>
      <c r="C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ht="15.75" customHeight="1">
      <c r="A713" s="9"/>
      <c r="B713" s="9"/>
      <c r="C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ht="15.75" customHeight="1">
      <c r="A714" s="9"/>
      <c r="B714" s="9"/>
      <c r="C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ht="15.75" customHeight="1">
      <c r="A715" s="9"/>
      <c r="B715" s="9"/>
      <c r="C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ht="15.75" customHeight="1">
      <c r="A716" s="9"/>
      <c r="B716" s="9"/>
      <c r="C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ht="15.75" customHeight="1">
      <c r="A717" s="9"/>
      <c r="B717" s="9"/>
      <c r="C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ht="15.75" customHeight="1">
      <c r="A718" s="9"/>
      <c r="B718" s="9"/>
      <c r="C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ht="15.75" customHeight="1">
      <c r="A719" s="9"/>
      <c r="B719" s="9"/>
      <c r="C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ht="15.75" customHeight="1">
      <c r="A720" s="9"/>
      <c r="B720" s="9"/>
      <c r="C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ht="15.75" customHeight="1">
      <c r="A721" s="9"/>
      <c r="B721" s="9"/>
      <c r="C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ht="15.75" customHeight="1">
      <c r="A722" s="9"/>
      <c r="B722" s="9"/>
      <c r="C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ht="15.75" customHeight="1">
      <c r="A723" s="9"/>
      <c r="B723" s="9"/>
      <c r="C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ht="15.75" customHeight="1">
      <c r="A724" s="9"/>
      <c r="B724" s="9"/>
      <c r="C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ht="15.75" customHeight="1">
      <c r="A725" s="9"/>
      <c r="B725" s="9"/>
      <c r="C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ht="15.75" customHeight="1">
      <c r="A726" s="9"/>
      <c r="B726" s="9"/>
      <c r="C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ht="15.75" customHeight="1">
      <c r="A727" s="9"/>
      <c r="B727" s="9"/>
      <c r="C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ht="15.75" customHeight="1">
      <c r="A728" s="9"/>
      <c r="B728" s="9"/>
      <c r="C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ht="15.75" customHeight="1">
      <c r="A729" s="9"/>
      <c r="B729" s="9"/>
      <c r="C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ht="15.75" customHeight="1">
      <c r="A730" s="9"/>
      <c r="B730" s="9"/>
      <c r="C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ht="15.75" customHeight="1">
      <c r="A731" s="9"/>
      <c r="B731" s="9"/>
      <c r="C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ht="15.75" customHeight="1">
      <c r="A732" s="9"/>
      <c r="B732" s="9"/>
      <c r="C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ht="15.75" customHeight="1">
      <c r="A733" s="9"/>
      <c r="B733" s="9"/>
      <c r="C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ht="15.75" customHeight="1">
      <c r="A734" s="9"/>
      <c r="B734" s="9"/>
      <c r="C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ht="15.75" customHeight="1">
      <c r="A735" s="9"/>
      <c r="B735" s="9"/>
      <c r="C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ht="15.75" customHeight="1">
      <c r="A736" s="9"/>
      <c r="B736" s="9"/>
      <c r="C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ht="15.75" customHeight="1">
      <c r="A737" s="9"/>
      <c r="B737" s="9"/>
      <c r="C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ht="15.75" customHeight="1">
      <c r="A738" s="9"/>
      <c r="B738" s="9"/>
      <c r="C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ht="15.75" customHeight="1">
      <c r="A739" s="9"/>
      <c r="B739" s="9"/>
      <c r="C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ht="15.75" customHeight="1">
      <c r="A740" s="9"/>
      <c r="B740" s="9"/>
      <c r="C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ht="15.75" customHeight="1">
      <c r="A741" s="9"/>
      <c r="B741" s="9"/>
      <c r="C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ht="15.75" customHeight="1">
      <c r="A742" s="9"/>
      <c r="B742" s="9"/>
      <c r="C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ht="15.75" customHeight="1">
      <c r="A743" s="9"/>
      <c r="B743" s="9"/>
      <c r="C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ht="15.75" customHeight="1">
      <c r="A744" s="9"/>
      <c r="B744" s="9"/>
      <c r="C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ht="15.75" customHeight="1">
      <c r="A745" s="9"/>
      <c r="B745" s="9"/>
      <c r="C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ht="15.75" customHeight="1">
      <c r="A746" s="9"/>
      <c r="B746" s="9"/>
      <c r="C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ht="15.75" customHeight="1">
      <c r="A747" s="9"/>
      <c r="B747" s="9"/>
      <c r="C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ht="15.75" customHeight="1">
      <c r="A748" s="9"/>
      <c r="B748" s="9"/>
      <c r="C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ht="15.75" customHeight="1">
      <c r="A749" s="9"/>
      <c r="B749" s="9"/>
      <c r="C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ht="15.75" customHeight="1">
      <c r="A750" s="9"/>
      <c r="B750" s="9"/>
      <c r="C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ht="15.75" customHeight="1">
      <c r="A751" s="9"/>
      <c r="B751" s="9"/>
      <c r="C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ht="15.75" customHeight="1">
      <c r="A752" s="9"/>
      <c r="B752" s="9"/>
      <c r="C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ht="15.75" customHeight="1">
      <c r="A753" s="9"/>
      <c r="B753" s="9"/>
      <c r="C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ht="15.75" customHeight="1">
      <c r="A754" s="9"/>
      <c r="B754" s="9"/>
      <c r="C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ht="15.75" customHeight="1">
      <c r="A755" s="9"/>
      <c r="B755" s="9"/>
      <c r="C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ht="15.75" customHeight="1">
      <c r="A756" s="9"/>
      <c r="B756" s="9"/>
      <c r="C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ht="15.75" customHeight="1">
      <c r="A757" s="9"/>
      <c r="B757" s="9"/>
      <c r="C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ht="15.75" customHeight="1">
      <c r="A758" s="9"/>
      <c r="B758" s="9"/>
      <c r="C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ht="15.75" customHeight="1">
      <c r="A759" s="9"/>
      <c r="B759" s="9"/>
      <c r="C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ht="15.75" customHeight="1">
      <c r="A760" s="9"/>
      <c r="B760" s="9"/>
      <c r="C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ht="15.75" customHeight="1">
      <c r="A761" s="9"/>
      <c r="B761" s="9"/>
      <c r="C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ht="15.75" customHeight="1">
      <c r="A762" s="9"/>
      <c r="B762" s="9"/>
      <c r="C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ht="15.75" customHeight="1">
      <c r="A763" s="9"/>
      <c r="B763" s="9"/>
      <c r="C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ht="15.75" customHeight="1">
      <c r="A764" s="9"/>
      <c r="B764" s="9"/>
      <c r="C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ht="15.75" customHeight="1">
      <c r="A765" s="9"/>
      <c r="B765" s="9"/>
      <c r="C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ht="15.75" customHeight="1">
      <c r="A766" s="9"/>
      <c r="B766" s="9"/>
      <c r="C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ht="15.75" customHeight="1">
      <c r="A767" s="9"/>
      <c r="B767" s="9"/>
      <c r="C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ht="15.75" customHeight="1">
      <c r="A768" s="9"/>
      <c r="B768" s="9"/>
      <c r="C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ht="15.75" customHeight="1">
      <c r="A769" s="9"/>
      <c r="B769" s="9"/>
      <c r="C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ht="15.75" customHeight="1">
      <c r="A770" s="9"/>
      <c r="B770" s="9"/>
      <c r="C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ht="15.75" customHeight="1">
      <c r="A771" s="9"/>
      <c r="B771" s="9"/>
      <c r="C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ht="15.75" customHeight="1">
      <c r="A772" s="9"/>
      <c r="B772" s="9"/>
      <c r="C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ht="15.75" customHeight="1">
      <c r="A773" s="9"/>
      <c r="B773" s="9"/>
      <c r="C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ht="15.75" customHeight="1">
      <c r="A774" s="9"/>
      <c r="B774" s="9"/>
      <c r="C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ht="15.75" customHeight="1">
      <c r="A775" s="9"/>
      <c r="B775" s="9"/>
      <c r="C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ht="15.75" customHeight="1">
      <c r="A776" s="9"/>
      <c r="B776" s="9"/>
      <c r="C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ht="15.75" customHeight="1">
      <c r="A777" s="9"/>
      <c r="B777" s="9"/>
      <c r="C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ht="15.75" customHeight="1">
      <c r="A778" s="9"/>
      <c r="B778" s="9"/>
      <c r="C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ht="15.75" customHeight="1">
      <c r="A779" s="9"/>
      <c r="B779" s="9"/>
      <c r="C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ht="15.75" customHeight="1">
      <c r="A780" s="9"/>
      <c r="B780" s="9"/>
      <c r="C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ht="15.75" customHeight="1">
      <c r="A781" s="9"/>
      <c r="B781" s="9"/>
      <c r="C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ht="15.75" customHeight="1">
      <c r="A782" s="9"/>
      <c r="B782" s="9"/>
      <c r="C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ht="15.75" customHeight="1">
      <c r="A783" s="9"/>
      <c r="B783" s="9"/>
      <c r="C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ht="15.75" customHeight="1">
      <c r="A784" s="9"/>
      <c r="B784" s="9"/>
      <c r="C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ht="15.75" customHeight="1">
      <c r="A785" s="9"/>
      <c r="B785" s="9"/>
      <c r="C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ht="15.75" customHeight="1">
      <c r="A786" s="9"/>
      <c r="B786" s="9"/>
      <c r="C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ht="15.75" customHeight="1">
      <c r="A787" s="9"/>
      <c r="B787" s="9"/>
      <c r="C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ht="15.75" customHeight="1">
      <c r="A788" s="9"/>
      <c r="B788" s="9"/>
      <c r="C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ht="15.75" customHeight="1">
      <c r="A789" s="9"/>
      <c r="B789" s="9"/>
      <c r="C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ht="15.75" customHeight="1">
      <c r="A790" s="9"/>
      <c r="B790" s="9"/>
      <c r="C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ht="15.75" customHeight="1">
      <c r="A791" s="9"/>
      <c r="B791" s="9"/>
      <c r="C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ht="15.75" customHeight="1">
      <c r="A792" s="9"/>
      <c r="B792" s="9"/>
      <c r="C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ht="15.75" customHeight="1">
      <c r="A793" s="9"/>
      <c r="B793" s="9"/>
      <c r="C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ht="15.75" customHeight="1">
      <c r="A794" s="9"/>
      <c r="B794" s="9"/>
      <c r="C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ht="15.75" customHeight="1">
      <c r="A795" s="9"/>
      <c r="B795" s="9"/>
      <c r="C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ht="15.75" customHeight="1">
      <c r="A796" s="9"/>
      <c r="B796" s="9"/>
      <c r="C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t="15.75" customHeight="1">
      <c r="A797" s="9"/>
      <c r="B797" s="9"/>
      <c r="C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ht="15.75" customHeight="1">
      <c r="A798" s="9"/>
      <c r="B798" s="9"/>
      <c r="C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ht="15.75" customHeight="1">
      <c r="A799" s="9"/>
      <c r="B799" s="9"/>
      <c r="C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ht="15.75" customHeight="1">
      <c r="A800" s="9"/>
      <c r="B800" s="9"/>
      <c r="C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ht="15.75" customHeight="1">
      <c r="A801" s="9"/>
      <c r="B801" s="9"/>
      <c r="C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ht="15.75" customHeight="1">
      <c r="A802" s="9"/>
      <c r="B802" s="9"/>
      <c r="C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ht="15.75" customHeight="1">
      <c r="A803" s="9"/>
      <c r="B803" s="9"/>
      <c r="C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ht="15.75" customHeight="1">
      <c r="A804" s="9"/>
      <c r="B804" s="9"/>
      <c r="C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ht="15.75" customHeight="1">
      <c r="A805" s="9"/>
      <c r="B805" s="9"/>
      <c r="C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ht="15.75" customHeight="1">
      <c r="A806" s="9"/>
      <c r="B806" s="9"/>
      <c r="C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ht="15.75" customHeight="1">
      <c r="A807" s="9"/>
      <c r="B807" s="9"/>
      <c r="C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ht="15.75" customHeight="1">
      <c r="A808" s="9"/>
      <c r="B808" s="9"/>
      <c r="C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ht="15.75" customHeight="1">
      <c r="A809" s="9"/>
      <c r="B809" s="9"/>
      <c r="C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ht="15.75" customHeight="1">
      <c r="A810" s="9"/>
      <c r="B810" s="9"/>
      <c r="C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ht="15.75" customHeight="1">
      <c r="A811" s="9"/>
      <c r="B811" s="9"/>
      <c r="C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ht="15.75" customHeight="1">
      <c r="A812" s="9"/>
      <c r="B812" s="9"/>
      <c r="C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ht="15.75" customHeight="1">
      <c r="A813" s="9"/>
      <c r="B813" s="9"/>
      <c r="C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ht="15.75" customHeight="1">
      <c r="A814" s="9"/>
      <c r="B814" s="9"/>
      <c r="C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ht="15.75" customHeight="1">
      <c r="A815" s="9"/>
      <c r="B815" s="9"/>
      <c r="C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ht="15.75" customHeight="1">
      <c r="A816" s="9"/>
      <c r="B816" s="9"/>
      <c r="C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ht="15.75" customHeight="1">
      <c r="A817" s="9"/>
      <c r="B817" s="9"/>
      <c r="C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ht="15.75" customHeight="1">
      <c r="A818" s="9"/>
      <c r="B818" s="9"/>
      <c r="C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ht="15.75" customHeight="1">
      <c r="A819" s="9"/>
      <c r="B819" s="9"/>
      <c r="C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ht="15.75" customHeight="1">
      <c r="A820" s="9"/>
      <c r="B820" s="9"/>
      <c r="C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ht="15.75" customHeight="1">
      <c r="A821" s="9"/>
      <c r="B821" s="9"/>
      <c r="C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ht="15.75" customHeight="1">
      <c r="A822" s="9"/>
      <c r="B822" s="9"/>
      <c r="C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ht="15.75" customHeight="1">
      <c r="A823" s="9"/>
      <c r="B823" s="9"/>
      <c r="C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ht="15.75" customHeight="1">
      <c r="A824" s="9"/>
      <c r="B824" s="9"/>
      <c r="C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ht="15.75" customHeight="1">
      <c r="A825" s="9"/>
      <c r="B825" s="9"/>
      <c r="C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ht="15.75" customHeight="1">
      <c r="A826" s="9"/>
      <c r="B826" s="9"/>
      <c r="C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ht="15.75" customHeight="1">
      <c r="A827" s="9"/>
      <c r="B827" s="9"/>
      <c r="C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t="15.75" customHeight="1">
      <c r="A828" s="9"/>
      <c r="B828" s="9"/>
      <c r="C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t="15.75" customHeight="1">
      <c r="A829" s="9"/>
      <c r="B829" s="9"/>
      <c r="C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ht="15.75" customHeight="1">
      <c r="A830" s="9"/>
      <c r="B830" s="9"/>
      <c r="C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ht="15.75" customHeight="1">
      <c r="A831" s="9"/>
      <c r="B831" s="9"/>
      <c r="C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ht="15.75" customHeight="1">
      <c r="A832" s="9"/>
      <c r="B832" s="9"/>
      <c r="C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ht="15.75" customHeight="1">
      <c r="A833" s="9"/>
      <c r="B833" s="9"/>
      <c r="C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ht="15.75" customHeight="1">
      <c r="A834" s="9"/>
      <c r="B834" s="9"/>
      <c r="C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ht="15.75" customHeight="1">
      <c r="A835" s="9"/>
      <c r="B835" s="9"/>
      <c r="C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ht="15.75" customHeight="1">
      <c r="A836" s="9"/>
      <c r="B836" s="9"/>
      <c r="C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ht="15.75" customHeight="1">
      <c r="A837" s="9"/>
      <c r="B837" s="9"/>
      <c r="C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ht="15.75" customHeight="1">
      <c r="A838" s="9"/>
      <c r="B838" s="9"/>
      <c r="C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ht="15.75" customHeight="1">
      <c r="A839" s="9"/>
      <c r="B839" s="9"/>
      <c r="C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ht="15.75" customHeight="1">
      <c r="A840" s="9"/>
      <c r="B840" s="9"/>
      <c r="C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ht="15.75" customHeight="1">
      <c r="A841" s="9"/>
      <c r="B841" s="9"/>
      <c r="C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ht="15.75" customHeight="1">
      <c r="A842" s="9"/>
      <c r="B842" s="9"/>
      <c r="C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ht="15.75" customHeight="1">
      <c r="A843" s="9"/>
      <c r="B843" s="9"/>
      <c r="C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ht="15.75" customHeight="1">
      <c r="A844" s="9"/>
      <c r="B844" s="9"/>
      <c r="C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ht="15.75" customHeight="1">
      <c r="A845" s="9"/>
      <c r="B845" s="9"/>
      <c r="C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ht="15.75" customHeight="1">
      <c r="A846" s="9"/>
      <c r="B846" s="9"/>
      <c r="C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ht="15.75" customHeight="1">
      <c r="A847" s="9"/>
      <c r="B847" s="9"/>
      <c r="C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ht="15.75" customHeight="1">
      <c r="A848" s="9"/>
      <c r="B848" s="9"/>
      <c r="C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ht="15.75" customHeight="1">
      <c r="A849" s="9"/>
      <c r="B849" s="9"/>
      <c r="C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ht="15.75" customHeight="1">
      <c r="A850" s="9"/>
      <c r="B850" s="9"/>
      <c r="C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ht="15.75" customHeight="1">
      <c r="A851" s="9"/>
      <c r="B851" s="9"/>
      <c r="C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ht="15.75" customHeight="1">
      <c r="A852" s="9"/>
      <c r="B852" s="9"/>
      <c r="C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ht="15.75" customHeight="1">
      <c r="A853" s="9"/>
      <c r="B853" s="9"/>
      <c r="C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ht="15.75" customHeight="1">
      <c r="A854" s="9"/>
      <c r="B854" s="9"/>
      <c r="C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ht="15.75" customHeight="1">
      <c r="A855" s="9"/>
      <c r="B855" s="9"/>
      <c r="C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ht="15.75" customHeight="1">
      <c r="A856" s="9"/>
      <c r="B856" s="9"/>
      <c r="C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ht="15.75" customHeight="1">
      <c r="A857" s="9"/>
      <c r="B857" s="9"/>
      <c r="C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ht="15.75" customHeight="1">
      <c r="A858" s="9"/>
      <c r="B858" s="9"/>
      <c r="C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ht="15.75" customHeight="1">
      <c r="A859" s="9"/>
      <c r="B859" s="9"/>
      <c r="C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ht="15.75" customHeight="1">
      <c r="A860" s="9"/>
      <c r="B860" s="9"/>
      <c r="C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ht="15.75" customHeight="1">
      <c r="A861" s="9"/>
      <c r="B861" s="9"/>
      <c r="C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ht="15.75" customHeight="1">
      <c r="A862" s="9"/>
      <c r="B862" s="9"/>
      <c r="C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ht="15.75" customHeight="1">
      <c r="A863" s="9"/>
      <c r="B863" s="9"/>
      <c r="C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ht="15.75" customHeight="1">
      <c r="A864" s="9"/>
      <c r="B864" s="9"/>
      <c r="C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ht="15.75" customHeight="1">
      <c r="A865" s="9"/>
      <c r="B865" s="9"/>
      <c r="C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ht="15.75" customHeight="1">
      <c r="A866" s="9"/>
      <c r="B866" s="9"/>
      <c r="C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ht="15.75" customHeight="1">
      <c r="A867" s="9"/>
      <c r="B867" s="9"/>
      <c r="C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ht="15.75" customHeight="1">
      <c r="A868" s="9"/>
      <c r="B868" s="9"/>
      <c r="C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ht="15.75" customHeight="1">
      <c r="A869" s="9"/>
      <c r="B869" s="9"/>
      <c r="C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ht="15.75" customHeight="1">
      <c r="A870" s="9"/>
      <c r="B870" s="9"/>
      <c r="C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ht="15.75" customHeight="1">
      <c r="A871" s="9"/>
      <c r="B871" s="9"/>
      <c r="C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ht="15.75" customHeight="1">
      <c r="A872" s="9"/>
      <c r="B872" s="9"/>
      <c r="C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ht="15.75" customHeight="1">
      <c r="A873" s="9"/>
      <c r="B873" s="9"/>
      <c r="C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ht="15.75" customHeight="1">
      <c r="A874" s="9"/>
      <c r="B874" s="9"/>
      <c r="C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ht="15.75" customHeight="1">
      <c r="A875" s="9"/>
      <c r="B875" s="9"/>
      <c r="C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ht="15.75" customHeight="1">
      <c r="A876" s="9"/>
      <c r="B876" s="9"/>
      <c r="C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ht="15.75" customHeight="1">
      <c r="A877" s="9"/>
      <c r="B877" s="9"/>
      <c r="C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ht="15.75" customHeight="1">
      <c r="A878" s="9"/>
      <c r="B878" s="9"/>
      <c r="C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ht="15.75" customHeight="1">
      <c r="A879" s="9"/>
      <c r="B879" s="9"/>
      <c r="C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ht="15.75" customHeight="1">
      <c r="A880" s="9"/>
      <c r="B880" s="9"/>
      <c r="C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ht="15.75" customHeight="1">
      <c r="A881" s="9"/>
      <c r="B881" s="9"/>
      <c r="C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ht="15.75" customHeight="1">
      <c r="A882" s="9"/>
      <c r="B882" s="9"/>
      <c r="C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ht="15.75" customHeight="1">
      <c r="A883" s="9"/>
      <c r="B883" s="9"/>
      <c r="C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ht="15.75" customHeight="1">
      <c r="A884" s="9"/>
      <c r="B884" s="9"/>
      <c r="C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ht="15.75" customHeight="1">
      <c r="A885" s="9"/>
      <c r="B885" s="9"/>
      <c r="C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ht="15.75" customHeight="1">
      <c r="A886" s="9"/>
      <c r="B886" s="9"/>
      <c r="C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ht="15.75" customHeight="1">
      <c r="A887" s="9"/>
      <c r="B887" s="9"/>
      <c r="C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ht="15.75" customHeight="1">
      <c r="A888" s="9"/>
      <c r="B888" s="9"/>
      <c r="C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ht="15.75" customHeight="1">
      <c r="A889" s="9"/>
      <c r="B889" s="9"/>
      <c r="C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ht="15.75" customHeight="1">
      <c r="A890" s="9"/>
      <c r="B890" s="9"/>
      <c r="C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ht="15.75" customHeight="1">
      <c r="A891" s="9"/>
      <c r="B891" s="9"/>
      <c r="C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ht="15.75" customHeight="1">
      <c r="A892" s="9"/>
      <c r="B892" s="9"/>
      <c r="C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ht="15.75" customHeight="1">
      <c r="A893" s="9"/>
      <c r="B893" s="9"/>
      <c r="C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ht="15.75" customHeight="1">
      <c r="A894" s="9"/>
      <c r="B894" s="9"/>
      <c r="C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ht="15.75" customHeight="1">
      <c r="A895" s="9"/>
      <c r="B895" s="9"/>
      <c r="C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ht="15.75" customHeight="1">
      <c r="A896" s="9"/>
      <c r="B896" s="9"/>
      <c r="C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ht="15.75" customHeight="1">
      <c r="A897" s="9"/>
      <c r="B897" s="9"/>
      <c r="C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ht="15.75" customHeight="1">
      <c r="A898" s="9"/>
      <c r="B898" s="9"/>
      <c r="C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ht="15.75" customHeight="1">
      <c r="A899" s="9"/>
      <c r="B899" s="9"/>
      <c r="C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ht="15.75" customHeight="1">
      <c r="A900" s="9"/>
      <c r="B900" s="9"/>
      <c r="C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ht="15.75" customHeight="1">
      <c r="A901" s="9"/>
      <c r="B901" s="9"/>
      <c r="C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ht="15.75" customHeight="1">
      <c r="A902" s="9"/>
      <c r="B902" s="9"/>
      <c r="C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ht="15.75" customHeight="1">
      <c r="A903" s="9"/>
      <c r="B903" s="9"/>
      <c r="C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ht="15.75" customHeight="1">
      <c r="A904" s="9"/>
      <c r="B904" s="9"/>
      <c r="C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ht="15.75" customHeight="1">
      <c r="A905" s="9"/>
      <c r="B905" s="9"/>
      <c r="C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ht="15.75" customHeight="1">
      <c r="A906" s="9"/>
      <c r="B906" s="9"/>
      <c r="C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ht="15.75" customHeight="1">
      <c r="A907" s="9"/>
      <c r="B907" s="9"/>
      <c r="C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ht="15.75" customHeight="1">
      <c r="A908" s="9"/>
      <c r="B908" s="9"/>
      <c r="C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ht="15.75" customHeight="1">
      <c r="A909" s="9"/>
      <c r="B909" s="9"/>
      <c r="C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ht="15.75" customHeight="1">
      <c r="A910" s="9"/>
      <c r="B910" s="9"/>
      <c r="C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ht="15.75" customHeight="1">
      <c r="A911" s="9"/>
      <c r="B911" s="9"/>
      <c r="C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ht="15.75" customHeight="1">
      <c r="A912" s="9"/>
      <c r="B912" s="9"/>
      <c r="C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ht="15.75" customHeight="1">
      <c r="A913" s="9"/>
      <c r="B913" s="9"/>
      <c r="C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ht="15.75" customHeight="1">
      <c r="A914" s="9"/>
      <c r="B914" s="9"/>
      <c r="C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ht="15.75" customHeight="1">
      <c r="A915" s="9"/>
      <c r="B915" s="9"/>
      <c r="C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ht="15.75" customHeight="1">
      <c r="A916" s="9"/>
      <c r="B916" s="9"/>
      <c r="C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ht="15.75" customHeight="1">
      <c r="A917" s="9"/>
      <c r="B917" s="9"/>
      <c r="C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ht="15.75" customHeight="1">
      <c r="A918" s="9"/>
      <c r="B918" s="9"/>
      <c r="C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ht="15.75" customHeight="1">
      <c r="A919" s="9"/>
      <c r="B919" s="9"/>
      <c r="C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ht="15.75" customHeight="1">
      <c r="A920" s="9"/>
      <c r="B920" s="9"/>
      <c r="C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ht="15.75" customHeight="1">
      <c r="A921" s="9"/>
      <c r="B921" s="9"/>
      <c r="C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ht="15.75" customHeight="1">
      <c r="A922" s="9"/>
      <c r="B922" s="9"/>
      <c r="C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ht="15.75" customHeight="1">
      <c r="A923" s="9"/>
      <c r="B923" s="9"/>
      <c r="C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ht="15.75" customHeight="1">
      <c r="A924" s="9"/>
      <c r="B924" s="9"/>
      <c r="C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ht="15.75" customHeight="1">
      <c r="A925" s="9"/>
      <c r="B925" s="9"/>
      <c r="C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ht="15.75" customHeight="1">
      <c r="A926" s="9"/>
      <c r="B926" s="9"/>
      <c r="C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ht="15.75" customHeight="1">
      <c r="A927" s="9"/>
      <c r="B927" s="9"/>
      <c r="C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ht="15.75" customHeight="1">
      <c r="A928" s="9"/>
      <c r="B928" s="9"/>
      <c r="C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ht="15.75" customHeight="1">
      <c r="A929" s="9"/>
      <c r="B929" s="9"/>
      <c r="C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ht="15.75" customHeight="1">
      <c r="A930" s="9"/>
      <c r="B930" s="9"/>
      <c r="C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ht="15.75" customHeight="1">
      <c r="A931" s="9"/>
      <c r="B931" s="9"/>
      <c r="C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ht="15.75" customHeight="1">
      <c r="A932" s="9"/>
      <c r="B932" s="9"/>
      <c r="C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ht="15.75" customHeight="1">
      <c r="A933" s="9"/>
      <c r="B933" s="9"/>
      <c r="C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ht="15.75" customHeight="1">
      <c r="A934" s="9"/>
      <c r="B934" s="9"/>
      <c r="C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ht="15.75" customHeight="1">
      <c r="A935" s="9"/>
      <c r="B935" s="9"/>
      <c r="C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ht="15.75" customHeight="1">
      <c r="A936" s="9"/>
      <c r="B936" s="9"/>
      <c r="C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ht="15.75" customHeight="1">
      <c r="A937" s="9"/>
      <c r="B937" s="9"/>
      <c r="C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ht="15.75" customHeight="1">
      <c r="A938" s="9"/>
      <c r="B938" s="9"/>
      <c r="C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ht="15.75" customHeight="1">
      <c r="A939" s="9"/>
      <c r="B939" s="9"/>
      <c r="C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ht="15.75" customHeight="1">
      <c r="A940" s="9"/>
      <c r="B940" s="9"/>
      <c r="C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ht="15.75" customHeight="1">
      <c r="A941" s="9"/>
      <c r="B941" s="9"/>
      <c r="C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ht="15.75" customHeight="1">
      <c r="A942" s="9"/>
      <c r="B942" s="9"/>
      <c r="C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ht="15.75" customHeight="1">
      <c r="A943" s="9"/>
      <c r="B943" s="9"/>
      <c r="C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ht="15.75" customHeight="1">
      <c r="A944" s="9"/>
      <c r="B944" s="9"/>
      <c r="C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ht="15.75" customHeight="1">
      <c r="A945" s="9"/>
      <c r="B945" s="9"/>
      <c r="C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ht="15.75" customHeight="1">
      <c r="A946" s="9"/>
      <c r="B946" s="9"/>
      <c r="C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ht="15.75" customHeight="1">
      <c r="A947" s="9"/>
      <c r="B947" s="9"/>
      <c r="C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ht="15.75" customHeight="1">
      <c r="A948" s="9"/>
      <c r="B948" s="9"/>
      <c r="C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ht="15.75" customHeight="1">
      <c r="A949" s="9"/>
      <c r="B949" s="9"/>
      <c r="C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ht="15.75" customHeight="1">
      <c r="A950" s="9"/>
      <c r="B950" s="9"/>
      <c r="C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ht="15.75" customHeight="1">
      <c r="A951" s="9"/>
      <c r="B951" s="9"/>
      <c r="C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ht="15.75" customHeight="1">
      <c r="A952" s="9"/>
      <c r="B952" s="9"/>
      <c r="C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ht="15.75" customHeight="1">
      <c r="A953" s="9"/>
      <c r="B953" s="9"/>
      <c r="C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ht="15.75" customHeight="1">
      <c r="A954" s="9"/>
      <c r="B954" s="9"/>
      <c r="C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ht="15.75" customHeight="1">
      <c r="A955" s="9"/>
      <c r="B955" s="9"/>
      <c r="C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ht="15.75" customHeight="1">
      <c r="A956" s="9"/>
      <c r="B956" s="9"/>
      <c r="C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ht="15.75" customHeight="1">
      <c r="A957" s="9"/>
      <c r="B957" s="9"/>
      <c r="C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ht="15.75" customHeight="1">
      <c r="A958" s="9"/>
      <c r="B958" s="9"/>
      <c r="C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ht="15.75" customHeight="1">
      <c r="A959" s="9"/>
      <c r="B959" s="9"/>
      <c r="C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ht="15.75" customHeight="1">
      <c r="A960" s="9"/>
      <c r="B960" s="9"/>
      <c r="C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ht="15.75" customHeight="1">
      <c r="A961" s="9"/>
      <c r="B961" s="9"/>
      <c r="C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ht="15.75" customHeight="1">
      <c r="A962" s="9"/>
      <c r="B962" s="9"/>
      <c r="C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ht="15.75" customHeight="1">
      <c r="A963" s="9"/>
      <c r="B963" s="9"/>
      <c r="C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ht="15.75" customHeight="1">
      <c r="A964" s="9"/>
      <c r="B964" s="9"/>
      <c r="C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ht="15.75" customHeight="1">
      <c r="A965" s="9"/>
      <c r="B965" s="9"/>
      <c r="C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ht="15.75" customHeight="1">
      <c r="A966" s="9"/>
      <c r="B966" s="9"/>
      <c r="C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ht="15.75" customHeight="1">
      <c r="A967" s="9"/>
      <c r="B967" s="9"/>
      <c r="C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ht="15.75" customHeight="1">
      <c r="A968" s="9"/>
      <c r="B968" s="9"/>
      <c r="C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ht="15.75" customHeight="1">
      <c r="A969" s="9"/>
      <c r="B969" s="9"/>
      <c r="C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ht="15.75" customHeight="1">
      <c r="A970" s="9"/>
      <c r="B970" s="9"/>
      <c r="C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ht="15.75" customHeight="1">
      <c r="A971" s="9"/>
      <c r="B971" s="9"/>
      <c r="C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ht="15.75" customHeight="1">
      <c r="A972" s="9"/>
      <c r="B972" s="9"/>
      <c r="C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ht="15.75" customHeight="1">
      <c r="A973" s="9"/>
      <c r="B973" s="9"/>
      <c r="C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ht="15.75" customHeight="1">
      <c r="A974" s="9"/>
      <c r="B974" s="9"/>
      <c r="C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ht="15.75" customHeight="1">
      <c r="A975" s="9"/>
      <c r="B975" s="9"/>
      <c r="C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ht="15.75" customHeight="1">
      <c r="A976" s="9"/>
      <c r="B976" s="9"/>
      <c r="C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ht="15.75" customHeight="1">
      <c r="A977" s="9"/>
      <c r="B977" s="9"/>
      <c r="C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ht="15.75" customHeight="1">
      <c r="A978" s="9"/>
      <c r="B978" s="9"/>
      <c r="C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ht="15.75" customHeight="1">
      <c r="A979" s="9"/>
      <c r="B979" s="9"/>
      <c r="C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ht="15.75" customHeight="1">
      <c r="A980" s="9"/>
      <c r="B980" s="9"/>
      <c r="C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ht="15.75" customHeight="1">
      <c r="A981" s="9"/>
      <c r="B981" s="9"/>
      <c r="C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ht="15.75" customHeight="1">
      <c r="A982" s="9"/>
      <c r="B982" s="9"/>
      <c r="C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ht="15.75" customHeight="1">
      <c r="A983" s="9"/>
      <c r="B983" s="9"/>
      <c r="C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ht="15.75" customHeight="1">
      <c r="A984" s="9"/>
      <c r="B984" s="9"/>
      <c r="C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ht="15.75" customHeight="1">
      <c r="A985" s="9"/>
      <c r="B985" s="9"/>
      <c r="C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ht="15.75" customHeight="1">
      <c r="A986" s="9"/>
      <c r="B986" s="9"/>
      <c r="C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ht="15.75" customHeight="1">
      <c r="A987" s="9"/>
      <c r="B987" s="9"/>
      <c r="C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ht="15.75" customHeight="1">
      <c r="A988" s="9"/>
      <c r="B988" s="9"/>
      <c r="C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ht="15.75" customHeight="1">
      <c r="A989" s="9"/>
      <c r="B989" s="9"/>
      <c r="C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ht="15.75" customHeight="1">
      <c r="A990" s="9"/>
      <c r="B990" s="9"/>
      <c r="C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ht="15.75" customHeight="1">
      <c r="A991" s="9"/>
      <c r="B991" s="9"/>
      <c r="C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ht="15.75" customHeight="1">
      <c r="A992" s="9"/>
      <c r="B992" s="9"/>
      <c r="C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ht="15.75" customHeight="1">
      <c r="A993" s="9"/>
      <c r="B993" s="9"/>
      <c r="C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ht="15.75" customHeight="1">
      <c r="A994" s="9"/>
      <c r="B994" s="9"/>
      <c r="C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ht="15.75" customHeight="1">
      <c r="A995" s="9"/>
      <c r="B995" s="9"/>
      <c r="C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ht="15.75" customHeight="1">
      <c r="A996" s="9"/>
      <c r="B996" s="9"/>
      <c r="C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ht="15.75" customHeight="1">
      <c r="A997" s="9"/>
      <c r="B997" s="9"/>
      <c r="C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ht="15.75" customHeight="1">
      <c r="A998" s="9"/>
      <c r="B998" s="9"/>
      <c r="C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ht="15.75" customHeight="1">
      <c r="A999" s="9"/>
      <c r="B999" s="9"/>
      <c r="C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ht="15.75" customHeight="1">
      <c r="A1000" s="9"/>
      <c r="B1000" s="9"/>
      <c r="C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9.14"/>
    <col customWidth="1" min="3" max="3" width="37.43"/>
    <col customWidth="1" min="4" max="4" width="8.71"/>
    <col customWidth="1" min="5" max="5" width="51.29"/>
    <col customWidth="1" min="6" max="9" width="8.71"/>
    <col customWidth="1" min="10" max="10" width="18.14"/>
    <col customWidth="1" min="11" max="11" width="10.71"/>
    <col customWidth="1" min="12" max="27" width="8.71"/>
  </cols>
  <sheetData>
    <row r="1">
      <c r="A1" s="5" t="s">
        <v>0</v>
      </c>
      <c r="B1" s="5" t="s">
        <v>1</v>
      </c>
      <c r="C1" s="5" t="s">
        <v>2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11" t="s">
        <v>8</v>
      </c>
      <c r="K1" s="5" t="s">
        <v>9</v>
      </c>
      <c r="L1" s="5" t="s">
        <v>10</v>
      </c>
    </row>
    <row r="2">
      <c r="A2" s="14">
        <v>1.0</v>
      </c>
      <c r="B2" s="14" t="s">
        <v>12</v>
      </c>
      <c r="C2" s="17" t="s">
        <v>15</v>
      </c>
      <c r="D2" s="17"/>
      <c r="E2" s="17"/>
      <c r="F2" s="17"/>
      <c r="G2" s="17"/>
      <c r="H2" s="17"/>
      <c r="I2" s="17"/>
      <c r="J2" s="18" t="s">
        <v>19</v>
      </c>
      <c r="K2" s="26">
        <f t="shared" ref="K2:L2" si="1">SUM(K3:K8)</f>
        <v>18</v>
      </c>
      <c r="L2" s="26">
        <f t="shared" si="1"/>
        <v>24</v>
      </c>
    </row>
    <row r="3">
      <c r="A3" s="28"/>
      <c r="B3" s="28"/>
      <c r="C3" s="28"/>
      <c r="D3" s="30" t="s">
        <v>26</v>
      </c>
      <c r="E3" s="28" t="s">
        <v>28</v>
      </c>
      <c r="F3" s="32">
        <v>4.0</v>
      </c>
      <c r="G3" s="32">
        <v>6.0</v>
      </c>
      <c r="H3" s="32" t="s">
        <v>29</v>
      </c>
      <c r="I3" s="32" t="s">
        <v>19</v>
      </c>
      <c r="J3" s="33"/>
      <c r="K3" s="32">
        <v>4.0</v>
      </c>
      <c r="L3" s="32">
        <v>6.0</v>
      </c>
    </row>
    <row r="4">
      <c r="A4" s="28"/>
      <c r="B4" s="28"/>
      <c r="C4" s="28"/>
      <c r="D4" s="28"/>
      <c r="E4" s="28"/>
      <c r="F4" s="32">
        <v>4.0</v>
      </c>
      <c r="G4" s="32">
        <v>6.0</v>
      </c>
      <c r="H4" s="32" t="s">
        <v>33</v>
      </c>
      <c r="I4" s="32" t="s">
        <v>19</v>
      </c>
      <c r="J4" s="33"/>
      <c r="K4" s="32">
        <v>4.0</v>
      </c>
      <c r="L4" s="32">
        <v>6.0</v>
      </c>
    </row>
    <row r="5">
      <c r="A5" s="28"/>
      <c r="B5" s="28"/>
      <c r="C5" s="28"/>
      <c r="D5" s="28"/>
      <c r="E5" s="28"/>
      <c r="F5" s="32">
        <v>4.0</v>
      </c>
      <c r="G5" s="32">
        <v>6.0</v>
      </c>
      <c r="H5" s="32" t="s">
        <v>35</v>
      </c>
      <c r="I5" s="32" t="s">
        <v>19</v>
      </c>
      <c r="J5" s="33"/>
      <c r="K5" s="32">
        <v>4.0</v>
      </c>
      <c r="L5" s="32">
        <v>6.0</v>
      </c>
    </row>
    <row r="6">
      <c r="A6" s="28"/>
      <c r="B6" s="28"/>
      <c r="C6" s="28"/>
      <c r="D6" s="34" t="s">
        <v>36</v>
      </c>
      <c r="E6" s="35" t="s">
        <v>38</v>
      </c>
      <c r="F6" s="36">
        <v>2.0</v>
      </c>
      <c r="G6" s="36">
        <v>2.0</v>
      </c>
      <c r="H6" s="32" t="s">
        <v>42</v>
      </c>
      <c r="I6" s="36" t="s">
        <v>19</v>
      </c>
      <c r="J6" s="37"/>
      <c r="K6" s="36">
        <v>2.0</v>
      </c>
      <c r="L6" s="36">
        <v>2.0</v>
      </c>
    </row>
    <row r="7">
      <c r="A7" s="28"/>
      <c r="B7" s="28"/>
      <c r="C7" s="28"/>
      <c r="D7" s="28"/>
      <c r="E7" s="28"/>
      <c r="F7" s="36">
        <v>2.0</v>
      </c>
      <c r="G7" s="36">
        <v>2.0</v>
      </c>
      <c r="H7" s="32" t="s">
        <v>43</v>
      </c>
      <c r="I7" s="36" t="s">
        <v>19</v>
      </c>
      <c r="J7" s="37"/>
      <c r="K7" s="36">
        <v>2.0</v>
      </c>
      <c r="L7" s="36">
        <v>2.0</v>
      </c>
    </row>
    <row r="8">
      <c r="A8" s="28"/>
      <c r="B8" s="28"/>
      <c r="C8" s="28"/>
      <c r="D8" s="28"/>
      <c r="E8" s="28"/>
      <c r="F8" s="36">
        <v>2.0</v>
      </c>
      <c r="G8" s="36">
        <v>2.0</v>
      </c>
      <c r="H8" s="32" t="s">
        <v>48</v>
      </c>
      <c r="I8" s="36" t="s">
        <v>19</v>
      </c>
      <c r="J8" s="37"/>
      <c r="K8" s="36">
        <v>2.0</v>
      </c>
      <c r="L8" s="36">
        <v>2.0</v>
      </c>
    </row>
    <row r="9">
      <c r="A9" s="14">
        <v>2.0</v>
      </c>
      <c r="B9" s="14" t="s">
        <v>49</v>
      </c>
      <c r="C9" s="17" t="s">
        <v>50</v>
      </c>
      <c r="D9" s="17"/>
      <c r="E9" s="17"/>
      <c r="F9" s="17"/>
      <c r="G9" s="17"/>
      <c r="H9" s="17"/>
      <c r="I9" s="17"/>
      <c r="J9" s="18" t="s">
        <v>19</v>
      </c>
      <c r="K9" s="26">
        <f t="shared" ref="K9:L9" si="2">SUM(K10:K14)</f>
        <v>15</v>
      </c>
      <c r="L9" s="26">
        <f t="shared" si="2"/>
        <v>23</v>
      </c>
    </row>
    <row r="10">
      <c r="A10" s="28"/>
      <c r="B10" s="28"/>
      <c r="C10" s="28"/>
      <c r="D10" s="34" t="s">
        <v>54</v>
      </c>
      <c r="E10" s="35" t="s">
        <v>55</v>
      </c>
      <c r="F10" s="36">
        <v>3.0</v>
      </c>
      <c r="G10" s="36">
        <v>5.0</v>
      </c>
      <c r="H10" s="32" t="s">
        <v>29</v>
      </c>
      <c r="I10" s="36" t="s">
        <v>19</v>
      </c>
      <c r="J10" s="37"/>
      <c r="K10" s="36">
        <v>3.0</v>
      </c>
      <c r="L10" s="36">
        <v>5.0</v>
      </c>
    </row>
    <row r="11">
      <c r="A11" s="28"/>
      <c r="B11" s="28"/>
      <c r="C11" s="28"/>
      <c r="D11" s="35"/>
      <c r="E11" s="35"/>
      <c r="F11" s="36">
        <v>3.0</v>
      </c>
      <c r="G11" s="36">
        <v>5.0</v>
      </c>
      <c r="H11" s="32" t="s">
        <v>33</v>
      </c>
      <c r="I11" s="36" t="s">
        <v>19</v>
      </c>
      <c r="J11" s="37"/>
      <c r="K11" s="36">
        <v>3.0</v>
      </c>
      <c r="L11" s="36">
        <v>5.0</v>
      </c>
    </row>
    <row r="12">
      <c r="A12" s="28"/>
      <c r="B12" s="28"/>
      <c r="C12" s="28"/>
      <c r="D12" s="35"/>
      <c r="E12" s="35"/>
      <c r="F12" s="36">
        <v>3.0</v>
      </c>
      <c r="G12" s="36">
        <v>5.0</v>
      </c>
      <c r="H12" s="32" t="s">
        <v>35</v>
      </c>
      <c r="I12" s="36" t="s">
        <v>19</v>
      </c>
      <c r="J12" s="37"/>
      <c r="K12" s="36">
        <v>3.0</v>
      </c>
      <c r="L12" s="36">
        <v>5.0</v>
      </c>
    </row>
    <row r="13">
      <c r="A13" s="28"/>
      <c r="B13" s="28"/>
      <c r="C13" s="38"/>
      <c r="D13" s="34" t="s">
        <v>61</v>
      </c>
      <c r="E13" s="35" t="s">
        <v>62</v>
      </c>
      <c r="F13" s="36">
        <v>3.0</v>
      </c>
      <c r="G13" s="36">
        <v>3.0</v>
      </c>
      <c r="H13" s="32" t="s">
        <v>48</v>
      </c>
      <c r="I13" s="36" t="s">
        <v>19</v>
      </c>
      <c r="J13" s="37"/>
      <c r="K13" s="36">
        <v>3.0</v>
      </c>
      <c r="L13" s="36">
        <v>3.0</v>
      </c>
    </row>
    <row r="14">
      <c r="A14" s="28"/>
      <c r="B14" s="28"/>
      <c r="C14" s="28"/>
      <c r="D14" s="30" t="s">
        <v>64</v>
      </c>
      <c r="E14" s="28" t="s">
        <v>65</v>
      </c>
      <c r="F14" s="36">
        <v>3.0</v>
      </c>
      <c r="G14" s="36">
        <v>5.0</v>
      </c>
      <c r="H14" s="32" t="s">
        <v>66</v>
      </c>
      <c r="I14" s="36" t="s">
        <v>19</v>
      </c>
      <c r="J14" s="37"/>
      <c r="K14" s="36">
        <v>3.0</v>
      </c>
      <c r="L14" s="36">
        <v>5.0</v>
      </c>
    </row>
    <row r="15">
      <c r="A15" s="14">
        <v>3.0</v>
      </c>
      <c r="B15" s="14" t="s">
        <v>67</v>
      </c>
      <c r="C15" s="17" t="s">
        <v>68</v>
      </c>
      <c r="D15" s="17"/>
      <c r="E15" s="17"/>
      <c r="F15" s="17"/>
      <c r="G15" s="17"/>
      <c r="H15" s="17"/>
      <c r="I15" s="17"/>
      <c r="J15" s="18" t="s">
        <v>19</v>
      </c>
      <c r="K15" s="26">
        <f t="shared" ref="K15:L15" si="3">SUM(K16:K21)</f>
        <v>18</v>
      </c>
      <c r="L15" s="26">
        <f t="shared" si="3"/>
        <v>20</v>
      </c>
    </row>
    <row r="16">
      <c r="A16" s="28"/>
      <c r="B16" s="28"/>
      <c r="C16" s="28"/>
      <c r="D16" s="34" t="s">
        <v>61</v>
      </c>
      <c r="E16" s="35" t="s">
        <v>62</v>
      </c>
      <c r="F16" s="36">
        <v>3.0</v>
      </c>
      <c r="G16" s="36">
        <v>3.0</v>
      </c>
      <c r="H16" s="32" t="s">
        <v>42</v>
      </c>
      <c r="I16" s="36" t="s">
        <v>19</v>
      </c>
      <c r="J16" s="37"/>
      <c r="K16" s="36">
        <v>3.0</v>
      </c>
      <c r="L16" s="36">
        <v>3.0</v>
      </c>
    </row>
    <row r="17">
      <c r="A17" s="28"/>
      <c r="B17" s="28"/>
      <c r="C17" s="28"/>
      <c r="D17" s="35"/>
      <c r="E17" s="35"/>
      <c r="F17" s="36">
        <v>3.0</v>
      </c>
      <c r="G17" s="36">
        <v>3.0</v>
      </c>
      <c r="H17" s="32" t="s">
        <v>43</v>
      </c>
      <c r="I17" s="36" t="s">
        <v>19</v>
      </c>
      <c r="J17" s="37"/>
      <c r="K17" s="36">
        <v>3.0</v>
      </c>
      <c r="L17" s="36">
        <v>3.0</v>
      </c>
    </row>
    <row r="18">
      <c r="A18" s="28"/>
      <c r="B18" s="28"/>
      <c r="C18" s="28"/>
      <c r="D18" s="34" t="s">
        <v>69</v>
      </c>
      <c r="E18" s="35" t="s">
        <v>70</v>
      </c>
      <c r="F18" s="36">
        <v>3.0</v>
      </c>
      <c r="G18" s="36">
        <v>3.0</v>
      </c>
      <c r="H18" s="32" t="s">
        <v>29</v>
      </c>
      <c r="I18" s="36" t="s">
        <v>19</v>
      </c>
      <c r="J18" s="37"/>
      <c r="K18" s="36">
        <v>3.0</v>
      </c>
      <c r="L18" s="36">
        <v>3.0</v>
      </c>
    </row>
    <row r="19">
      <c r="A19" s="28"/>
      <c r="B19" s="28"/>
      <c r="C19" s="38"/>
      <c r="D19" s="35"/>
      <c r="E19" s="35"/>
      <c r="F19" s="36">
        <v>3.0</v>
      </c>
      <c r="G19" s="36">
        <v>3.0</v>
      </c>
      <c r="H19" s="32" t="s">
        <v>33</v>
      </c>
      <c r="I19" s="36" t="s">
        <v>19</v>
      </c>
      <c r="J19" s="37"/>
      <c r="K19" s="36">
        <v>3.0</v>
      </c>
      <c r="L19" s="36">
        <v>3.0</v>
      </c>
    </row>
    <row r="20">
      <c r="A20" s="28"/>
      <c r="B20" s="28"/>
      <c r="C20" s="28"/>
      <c r="D20" s="35"/>
      <c r="E20" s="35"/>
      <c r="F20" s="36">
        <v>3.0</v>
      </c>
      <c r="G20" s="36">
        <v>3.0</v>
      </c>
      <c r="H20" s="32" t="s">
        <v>35</v>
      </c>
      <c r="I20" s="36" t="s">
        <v>19</v>
      </c>
      <c r="J20" s="37"/>
      <c r="K20" s="36">
        <v>3.0</v>
      </c>
      <c r="L20" s="36">
        <v>3.0</v>
      </c>
    </row>
    <row r="21" ht="15.75" customHeight="1">
      <c r="A21" s="28"/>
      <c r="B21" s="28"/>
      <c r="C21" s="28"/>
      <c r="D21" s="30" t="s">
        <v>64</v>
      </c>
      <c r="E21" s="28" t="s">
        <v>65</v>
      </c>
      <c r="F21" s="36">
        <v>3.0</v>
      </c>
      <c r="G21" s="36">
        <v>5.0</v>
      </c>
      <c r="H21" s="32" t="s">
        <v>74</v>
      </c>
      <c r="I21" s="36" t="s">
        <v>19</v>
      </c>
      <c r="J21" s="37"/>
      <c r="K21" s="36">
        <v>3.0</v>
      </c>
      <c r="L21" s="36">
        <v>5.0</v>
      </c>
    </row>
    <row r="22" ht="15.75" customHeight="1">
      <c r="A22" s="14">
        <v>4.0</v>
      </c>
      <c r="B22" s="14" t="s">
        <v>75</v>
      </c>
      <c r="C22" s="17" t="s">
        <v>76</v>
      </c>
      <c r="D22" s="17"/>
      <c r="E22" s="17"/>
      <c r="F22" s="17"/>
      <c r="G22" s="17"/>
      <c r="H22" s="17"/>
      <c r="I22" s="17"/>
      <c r="J22" s="18" t="s">
        <v>19</v>
      </c>
      <c r="K22" s="26">
        <f t="shared" ref="K22:L22" si="4">SUM(K23:K28)</f>
        <v>15</v>
      </c>
      <c r="L22" s="26">
        <f t="shared" si="4"/>
        <v>18</v>
      </c>
    </row>
    <row r="23" ht="15.75" customHeight="1">
      <c r="A23" s="28"/>
      <c r="B23" s="28"/>
      <c r="C23" s="28"/>
      <c r="D23" s="34" t="s">
        <v>79</v>
      </c>
      <c r="E23" s="35" t="s">
        <v>80</v>
      </c>
      <c r="F23" s="36">
        <v>2.0</v>
      </c>
      <c r="G23" s="36">
        <v>2.0</v>
      </c>
      <c r="H23" s="32" t="s">
        <v>81</v>
      </c>
      <c r="I23" s="36" t="s">
        <v>19</v>
      </c>
      <c r="J23" s="37"/>
      <c r="K23" s="36">
        <v>2.0</v>
      </c>
      <c r="L23" s="36">
        <v>2.0</v>
      </c>
    </row>
    <row r="24" ht="15.75" customHeight="1">
      <c r="A24" s="28"/>
      <c r="B24" s="28"/>
      <c r="C24" s="28"/>
      <c r="D24" s="35"/>
      <c r="E24" s="35"/>
      <c r="F24" s="36">
        <v>2.0</v>
      </c>
      <c r="G24" s="36">
        <v>2.0</v>
      </c>
      <c r="H24" s="32" t="s">
        <v>82</v>
      </c>
      <c r="I24" s="36" t="s">
        <v>19</v>
      </c>
      <c r="J24" s="37"/>
      <c r="K24" s="36">
        <v>2.0</v>
      </c>
      <c r="L24" s="36">
        <v>2.0</v>
      </c>
    </row>
    <row r="25" ht="15.75" customHeight="1">
      <c r="A25" s="28"/>
      <c r="B25" s="28"/>
      <c r="C25" s="38"/>
      <c r="D25" s="35"/>
      <c r="E25" s="35"/>
      <c r="F25" s="36">
        <v>2.0</v>
      </c>
      <c r="G25" s="36">
        <v>2.0</v>
      </c>
      <c r="H25" s="32" t="s">
        <v>83</v>
      </c>
      <c r="I25" s="36" t="s">
        <v>19</v>
      </c>
      <c r="J25" s="37"/>
      <c r="K25" s="36">
        <v>2.0</v>
      </c>
      <c r="L25" s="36">
        <v>2.0</v>
      </c>
    </row>
    <row r="26" ht="15.75" customHeight="1">
      <c r="A26" s="28"/>
      <c r="B26" s="28"/>
      <c r="C26" s="28"/>
      <c r="D26" s="34" t="s">
        <v>85</v>
      </c>
      <c r="E26" s="35" t="s">
        <v>86</v>
      </c>
      <c r="F26" s="36">
        <v>3.0</v>
      </c>
      <c r="G26" s="36">
        <v>4.0</v>
      </c>
      <c r="H26" s="32" t="s">
        <v>87</v>
      </c>
      <c r="I26" s="36" t="s">
        <v>19</v>
      </c>
      <c r="J26" s="37"/>
      <c r="K26" s="36">
        <v>3.0</v>
      </c>
      <c r="L26" s="36">
        <v>4.0</v>
      </c>
    </row>
    <row r="27" ht="15.75" customHeight="1">
      <c r="A27" s="28"/>
      <c r="B27" s="28"/>
      <c r="C27" s="28"/>
      <c r="D27" s="35"/>
      <c r="E27" s="35"/>
      <c r="F27" s="36">
        <v>3.0</v>
      </c>
      <c r="G27" s="36">
        <v>4.0</v>
      </c>
      <c r="H27" s="32" t="s">
        <v>74</v>
      </c>
      <c r="I27" s="36" t="s">
        <v>19</v>
      </c>
      <c r="J27" s="37"/>
      <c r="K27" s="36">
        <v>3.0</v>
      </c>
      <c r="L27" s="36">
        <v>4.0</v>
      </c>
    </row>
    <row r="28" ht="15.75" customHeight="1">
      <c r="A28" s="28"/>
      <c r="B28" s="28"/>
      <c r="C28" s="28"/>
      <c r="D28" s="28"/>
      <c r="E28" s="28"/>
      <c r="F28" s="36">
        <v>3.0</v>
      </c>
      <c r="G28" s="32">
        <v>4.0</v>
      </c>
      <c r="H28" s="32" t="s">
        <v>66</v>
      </c>
      <c r="I28" s="36" t="s">
        <v>19</v>
      </c>
      <c r="J28" s="37"/>
      <c r="K28" s="36">
        <v>3.0</v>
      </c>
      <c r="L28" s="36">
        <v>4.0</v>
      </c>
    </row>
    <row r="29" ht="15.75" customHeight="1">
      <c r="A29" s="14">
        <v>5.0</v>
      </c>
      <c r="B29" s="14" t="s">
        <v>93</v>
      </c>
      <c r="C29" s="17" t="s">
        <v>94</v>
      </c>
      <c r="D29" s="17"/>
      <c r="E29" s="17"/>
      <c r="F29" s="17"/>
      <c r="G29" s="17"/>
      <c r="H29" s="17"/>
      <c r="I29" s="17"/>
      <c r="J29" s="18" t="s">
        <v>19</v>
      </c>
      <c r="K29" s="26">
        <f t="shared" ref="K29:L29" si="5">SUM(K30:K38)</f>
        <v>18</v>
      </c>
      <c r="L29" s="26">
        <f t="shared" si="5"/>
        <v>24</v>
      </c>
    </row>
    <row r="30" ht="15.75" customHeight="1">
      <c r="A30" s="28"/>
      <c r="B30" s="28"/>
      <c r="C30" s="28"/>
      <c r="D30" s="34" t="s">
        <v>96</v>
      </c>
      <c r="E30" s="35" t="s">
        <v>97</v>
      </c>
      <c r="F30" s="36">
        <v>2.0</v>
      </c>
      <c r="G30" s="36">
        <v>2.0</v>
      </c>
      <c r="H30" s="32" t="s">
        <v>42</v>
      </c>
      <c r="I30" s="36" t="s">
        <v>19</v>
      </c>
      <c r="J30" s="37"/>
      <c r="K30" s="36">
        <v>2.0</v>
      </c>
      <c r="L30" s="36">
        <v>2.0</v>
      </c>
    </row>
    <row r="31" ht="15.75" customHeight="1">
      <c r="A31" s="28"/>
      <c r="B31" s="28"/>
      <c r="C31" s="28"/>
      <c r="D31" s="35"/>
      <c r="E31" s="35"/>
      <c r="F31" s="36">
        <v>2.0</v>
      </c>
      <c r="G31" s="36">
        <v>2.0</v>
      </c>
      <c r="H31" s="32" t="s">
        <v>43</v>
      </c>
      <c r="I31" s="36" t="s">
        <v>19</v>
      </c>
      <c r="J31" s="37"/>
      <c r="K31" s="36">
        <v>2.0</v>
      </c>
      <c r="L31" s="36">
        <v>2.0</v>
      </c>
    </row>
    <row r="32" ht="15.75" customHeight="1">
      <c r="A32" s="28"/>
      <c r="B32" s="28"/>
      <c r="C32" s="28"/>
      <c r="D32" s="35"/>
      <c r="E32" s="35"/>
      <c r="F32" s="36">
        <v>2.0</v>
      </c>
      <c r="G32" s="36">
        <v>2.0</v>
      </c>
      <c r="H32" s="32" t="s">
        <v>48</v>
      </c>
      <c r="I32" s="36" t="s">
        <v>19</v>
      </c>
      <c r="J32" s="37"/>
      <c r="K32" s="36">
        <v>2.0</v>
      </c>
      <c r="L32" s="36">
        <v>2.0</v>
      </c>
    </row>
    <row r="33" ht="15.75" customHeight="1">
      <c r="A33" s="28"/>
      <c r="B33" s="28"/>
      <c r="C33" s="38"/>
      <c r="D33" s="34" t="s">
        <v>99</v>
      </c>
      <c r="E33" s="35" t="s">
        <v>100</v>
      </c>
      <c r="F33" s="36">
        <v>2.0</v>
      </c>
      <c r="G33" s="36">
        <v>4.0</v>
      </c>
      <c r="H33" s="32" t="s">
        <v>42</v>
      </c>
      <c r="I33" s="36" t="s">
        <v>19</v>
      </c>
      <c r="J33" s="37"/>
      <c r="K33" s="36">
        <v>2.0</v>
      </c>
      <c r="L33" s="36">
        <v>4.0</v>
      </c>
    </row>
    <row r="34" ht="15.75" customHeight="1">
      <c r="A34" s="28"/>
      <c r="B34" s="28"/>
      <c r="C34" s="38"/>
      <c r="D34" s="35"/>
      <c r="E34" s="35"/>
      <c r="F34" s="36">
        <v>2.0</v>
      </c>
      <c r="G34" s="36">
        <v>4.0</v>
      </c>
      <c r="H34" s="32" t="s">
        <v>43</v>
      </c>
      <c r="I34" s="36" t="s">
        <v>19</v>
      </c>
      <c r="J34" s="37"/>
      <c r="K34" s="36">
        <v>2.0</v>
      </c>
      <c r="L34" s="36">
        <v>4.0</v>
      </c>
    </row>
    <row r="35" ht="15.75" customHeight="1">
      <c r="A35" s="28"/>
      <c r="B35" s="28"/>
      <c r="C35" s="38"/>
      <c r="D35" s="35"/>
      <c r="E35" s="35"/>
      <c r="F35" s="36">
        <v>2.0</v>
      </c>
      <c r="G35" s="36">
        <v>4.0</v>
      </c>
      <c r="H35" s="32" t="s">
        <v>48</v>
      </c>
      <c r="I35" s="36" t="s">
        <v>19</v>
      </c>
      <c r="J35" s="37"/>
      <c r="K35" s="36">
        <v>2.0</v>
      </c>
      <c r="L35" s="36">
        <v>4.0</v>
      </c>
    </row>
    <row r="36" ht="15.75" customHeight="1">
      <c r="A36" s="28"/>
      <c r="B36" s="28"/>
      <c r="C36" s="28"/>
      <c r="D36" s="45" t="s">
        <v>26</v>
      </c>
      <c r="E36" s="35" t="s">
        <v>104</v>
      </c>
      <c r="F36" s="36">
        <v>2.0</v>
      </c>
      <c r="G36" s="36">
        <v>2.0</v>
      </c>
      <c r="H36" s="32" t="s">
        <v>29</v>
      </c>
      <c r="I36" s="32" t="s">
        <v>19</v>
      </c>
      <c r="J36" s="37"/>
      <c r="K36" s="36">
        <v>2.0</v>
      </c>
      <c r="L36" s="36">
        <v>2.0</v>
      </c>
    </row>
    <row r="37" ht="15.75" customHeight="1">
      <c r="A37" s="28"/>
      <c r="B37" s="28"/>
      <c r="C37" s="28"/>
      <c r="D37" s="35"/>
      <c r="E37" s="35"/>
      <c r="F37" s="36">
        <v>2.0</v>
      </c>
      <c r="G37" s="36">
        <v>2.0</v>
      </c>
      <c r="H37" s="32" t="s">
        <v>33</v>
      </c>
      <c r="I37" s="36" t="s">
        <v>19</v>
      </c>
      <c r="J37" s="37"/>
      <c r="K37" s="36">
        <v>2.0</v>
      </c>
      <c r="L37" s="36">
        <v>2.0</v>
      </c>
    </row>
    <row r="38" ht="15.75" customHeight="1">
      <c r="A38" s="28"/>
      <c r="B38" s="28"/>
      <c r="C38" s="28"/>
      <c r="D38" s="28"/>
      <c r="E38" s="28"/>
      <c r="F38" s="32">
        <v>2.0</v>
      </c>
      <c r="G38" s="32">
        <v>2.0</v>
      </c>
      <c r="H38" s="32" t="s">
        <v>35</v>
      </c>
      <c r="I38" s="32" t="s">
        <v>19</v>
      </c>
      <c r="J38" s="33"/>
      <c r="K38" s="32">
        <v>2.0</v>
      </c>
      <c r="L38" s="32">
        <v>2.0</v>
      </c>
    </row>
    <row r="39" ht="15.75" customHeight="1">
      <c r="A39" s="14">
        <v>6.0</v>
      </c>
      <c r="B39" s="14" t="s">
        <v>107</v>
      </c>
      <c r="C39" s="17" t="s">
        <v>108</v>
      </c>
      <c r="D39" s="17"/>
      <c r="E39" s="17"/>
      <c r="F39" s="17"/>
      <c r="G39" s="17"/>
      <c r="H39" s="17"/>
      <c r="I39" s="17"/>
      <c r="J39" s="18" t="s">
        <v>19</v>
      </c>
      <c r="K39" s="26">
        <f t="shared" ref="K39:L39" si="6">SUM(K40:K48)</f>
        <v>18</v>
      </c>
      <c r="L39" s="26">
        <f t="shared" si="6"/>
        <v>24</v>
      </c>
    </row>
    <row r="40" ht="15.75" customHeight="1">
      <c r="A40" s="28"/>
      <c r="B40" s="28"/>
      <c r="C40" s="28"/>
      <c r="D40" s="34" t="s">
        <v>111</v>
      </c>
      <c r="E40" s="35" t="s">
        <v>112</v>
      </c>
      <c r="F40" s="36">
        <v>2.0</v>
      </c>
      <c r="G40" s="36">
        <v>2.0</v>
      </c>
      <c r="H40" s="32" t="s">
        <v>81</v>
      </c>
      <c r="I40" s="36" t="s">
        <v>19</v>
      </c>
      <c r="J40" s="37"/>
      <c r="K40" s="36">
        <v>2.0</v>
      </c>
      <c r="L40" s="36">
        <v>2.0</v>
      </c>
    </row>
    <row r="41" ht="15.75" customHeight="1">
      <c r="A41" s="28"/>
      <c r="B41" s="28"/>
      <c r="C41" s="28"/>
      <c r="D41" s="35"/>
      <c r="E41" s="35"/>
      <c r="F41" s="36">
        <v>2.0</v>
      </c>
      <c r="G41" s="36">
        <v>2.0</v>
      </c>
      <c r="H41" s="32" t="s">
        <v>82</v>
      </c>
      <c r="I41" s="36" t="s">
        <v>19</v>
      </c>
      <c r="J41" s="37"/>
      <c r="K41" s="36">
        <v>2.0</v>
      </c>
      <c r="L41" s="36">
        <v>2.0</v>
      </c>
    </row>
    <row r="42" ht="15.75" customHeight="1">
      <c r="A42" s="28"/>
      <c r="B42" s="28"/>
      <c r="C42" s="28"/>
      <c r="D42" s="35"/>
      <c r="E42" s="35"/>
      <c r="F42" s="36">
        <v>2.0</v>
      </c>
      <c r="G42" s="36">
        <v>2.0</v>
      </c>
      <c r="H42" s="32" t="s">
        <v>83</v>
      </c>
      <c r="I42" s="36" t="s">
        <v>19</v>
      </c>
      <c r="J42" s="37"/>
      <c r="K42" s="36">
        <v>2.0</v>
      </c>
      <c r="L42" s="36">
        <v>2.0</v>
      </c>
    </row>
    <row r="43" ht="15.75" customHeight="1">
      <c r="A43" s="28"/>
      <c r="B43" s="28"/>
      <c r="C43" s="38"/>
      <c r="D43" s="34" t="s">
        <v>114</v>
      </c>
      <c r="E43" s="35" t="s">
        <v>116</v>
      </c>
      <c r="F43" s="36">
        <v>2.0</v>
      </c>
      <c r="G43" s="36">
        <v>4.0</v>
      </c>
      <c r="H43" s="32" t="s">
        <v>81</v>
      </c>
      <c r="I43" s="36" t="s">
        <v>19</v>
      </c>
      <c r="J43" s="37"/>
      <c r="K43" s="36">
        <v>2.0</v>
      </c>
      <c r="L43" s="36">
        <v>4.0</v>
      </c>
    </row>
    <row r="44" ht="15.75" customHeight="1">
      <c r="A44" s="28"/>
      <c r="B44" s="28"/>
      <c r="C44" s="38"/>
      <c r="D44" s="35"/>
      <c r="E44" s="35"/>
      <c r="F44" s="36">
        <v>2.0</v>
      </c>
      <c r="G44" s="36">
        <v>4.0</v>
      </c>
      <c r="H44" s="32" t="s">
        <v>82</v>
      </c>
      <c r="I44" s="36" t="s">
        <v>19</v>
      </c>
      <c r="J44" s="37"/>
      <c r="K44" s="36">
        <v>2.0</v>
      </c>
      <c r="L44" s="36">
        <v>4.0</v>
      </c>
    </row>
    <row r="45" ht="15.75" customHeight="1">
      <c r="A45" s="28"/>
      <c r="B45" s="28"/>
      <c r="C45" s="28"/>
      <c r="D45" s="35"/>
      <c r="E45" s="35"/>
      <c r="F45" s="36">
        <v>2.0</v>
      </c>
      <c r="G45" s="36">
        <v>4.0</v>
      </c>
      <c r="H45" s="32" t="s">
        <v>83</v>
      </c>
      <c r="I45" s="36" t="s">
        <v>19</v>
      </c>
      <c r="J45" s="37"/>
      <c r="K45" s="36">
        <v>2.0</v>
      </c>
      <c r="L45" s="36">
        <v>4.0</v>
      </c>
    </row>
    <row r="46" ht="15.75" customHeight="1">
      <c r="A46" s="28"/>
      <c r="B46" s="28"/>
      <c r="C46" s="28"/>
      <c r="D46" s="46" t="s">
        <v>120</v>
      </c>
      <c r="E46" s="35" t="s">
        <v>121</v>
      </c>
      <c r="F46" s="36">
        <v>2.0</v>
      </c>
      <c r="G46" s="36">
        <v>2.0</v>
      </c>
      <c r="H46" s="32" t="s">
        <v>29</v>
      </c>
      <c r="I46" s="32" t="s">
        <v>19</v>
      </c>
      <c r="J46" s="37"/>
      <c r="K46" s="36">
        <v>2.0</v>
      </c>
      <c r="L46" s="36">
        <v>2.0</v>
      </c>
    </row>
    <row r="47" ht="15.75" customHeight="1">
      <c r="A47" s="28"/>
      <c r="B47" s="28"/>
      <c r="C47" s="28"/>
      <c r="D47" s="28"/>
      <c r="E47" s="28"/>
      <c r="F47" s="36">
        <v>2.0</v>
      </c>
      <c r="G47" s="36">
        <v>2.0</v>
      </c>
      <c r="H47" s="32" t="s">
        <v>33</v>
      </c>
      <c r="I47" s="36" t="s">
        <v>19</v>
      </c>
      <c r="J47" s="37"/>
      <c r="K47" s="36">
        <v>2.0</v>
      </c>
      <c r="L47" s="36">
        <v>2.0</v>
      </c>
    </row>
    <row r="48" ht="15.75" customHeight="1">
      <c r="A48" s="28"/>
      <c r="B48" s="28"/>
      <c r="C48" s="28"/>
      <c r="D48" s="28"/>
      <c r="E48" s="28"/>
      <c r="F48" s="32">
        <v>2.0</v>
      </c>
      <c r="G48" s="32">
        <v>2.0</v>
      </c>
      <c r="H48" s="32" t="s">
        <v>35</v>
      </c>
      <c r="I48" s="32" t="s">
        <v>19</v>
      </c>
      <c r="J48" s="33"/>
      <c r="K48" s="32">
        <v>2.0</v>
      </c>
      <c r="L48" s="32">
        <v>2.0</v>
      </c>
    </row>
    <row r="49" ht="15.75" customHeight="1">
      <c r="A49" s="14">
        <v>7.0</v>
      </c>
      <c r="B49" s="14" t="s">
        <v>122</v>
      </c>
      <c r="C49" s="17" t="s">
        <v>123</v>
      </c>
      <c r="D49" s="17"/>
      <c r="E49" s="17"/>
      <c r="F49" s="17"/>
      <c r="G49" s="17"/>
      <c r="H49" s="17"/>
      <c r="I49" s="17"/>
      <c r="J49" s="18" t="s">
        <v>19</v>
      </c>
      <c r="K49" s="26">
        <f t="shared" ref="K49:L49" si="7">SUM(K50:K56)</f>
        <v>18</v>
      </c>
      <c r="L49" s="26">
        <f t="shared" si="7"/>
        <v>26</v>
      </c>
    </row>
    <row r="50" ht="15.75" customHeight="1">
      <c r="A50" s="28"/>
      <c r="B50" s="28"/>
      <c r="C50" s="28"/>
      <c r="D50" s="34" t="s">
        <v>126</v>
      </c>
      <c r="E50" s="35" t="s">
        <v>128</v>
      </c>
      <c r="F50" s="36">
        <v>2.0</v>
      </c>
      <c r="G50" s="36">
        <v>2.0</v>
      </c>
      <c r="H50" s="32" t="s">
        <v>81</v>
      </c>
      <c r="I50" s="36" t="s">
        <v>19</v>
      </c>
      <c r="J50" s="37"/>
      <c r="K50" s="36">
        <v>2.0</v>
      </c>
      <c r="L50" s="36">
        <v>2.0</v>
      </c>
    </row>
    <row r="51" ht="15.75" customHeight="1">
      <c r="A51" s="28"/>
      <c r="B51" s="28"/>
      <c r="C51" s="28"/>
      <c r="D51" s="35"/>
      <c r="E51" s="35"/>
      <c r="F51" s="36">
        <v>2.0</v>
      </c>
      <c r="G51" s="36">
        <v>2.0</v>
      </c>
      <c r="H51" s="32" t="s">
        <v>82</v>
      </c>
      <c r="I51" s="36" t="s">
        <v>19</v>
      </c>
      <c r="J51" s="37"/>
      <c r="K51" s="36">
        <v>2.0</v>
      </c>
      <c r="L51" s="36">
        <v>2.0</v>
      </c>
    </row>
    <row r="52" ht="15.75" customHeight="1">
      <c r="A52" s="28"/>
      <c r="B52" s="28"/>
      <c r="C52" s="28"/>
      <c r="D52" s="35"/>
      <c r="E52" s="35"/>
      <c r="F52" s="36">
        <v>2.0</v>
      </c>
      <c r="G52" s="36">
        <v>2.0</v>
      </c>
      <c r="H52" s="32" t="s">
        <v>83</v>
      </c>
      <c r="I52" s="36" t="s">
        <v>19</v>
      </c>
      <c r="J52" s="37"/>
      <c r="K52" s="36">
        <v>2.0</v>
      </c>
      <c r="L52" s="36">
        <v>2.0</v>
      </c>
    </row>
    <row r="53" ht="15.75" customHeight="1">
      <c r="A53" s="28"/>
      <c r="B53" s="28"/>
      <c r="C53" s="38"/>
      <c r="D53" s="30" t="s">
        <v>64</v>
      </c>
      <c r="E53" s="28" t="s">
        <v>65</v>
      </c>
      <c r="F53" s="36">
        <v>3.0</v>
      </c>
      <c r="G53" s="36">
        <v>5.0</v>
      </c>
      <c r="H53" s="32" t="s">
        <v>87</v>
      </c>
      <c r="I53" s="36" t="s">
        <v>19</v>
      </c>
      <c r="J53" s="37"/>
      <c r="K53" s="36">
        <v>3.0</v>
      </c>
      <c r="L53" s="36">
        <v>5.0</v>
      </c>
    </row>
    <row r="54" ht="15.75" customHeight="1">
      <c r="A54" s="28"/>
      <c r="B54" s="28"/>
      <c r="C54" s="28"/>
      <c r="D54" s="47" t="s">
        <v>129</v>
      </c>
      <c r="E54" s="38" t="s">
        <v>131</v>
      </c>
      <c r="F54" s="36">
        <v>3.0</v>
      </c>
      <c r="G54" s="36">
        <v>5.0</v>
      </c>
      <c r="H54" s="32" t="s">
        <v>87</v>
      </c>
      <c r="I54" s="36" t="s">
        <v>19</v>
      </c>
      <c r="J54" s="37"/>
      <c r="K54" s="36">
        <v>3.0</v>
      </c>
      <c r="L54" s="36">
        <v>5.0</v>
      </c>
    </row>
    <row r="55" ht="15.75" customHeight="1">
      <c r="A55" s="28"/>
      <c r="B55" s="28"/>
      <c r="C55" s="28"/>
      <c r="D55" s="38"/>
      <c r="E55" s="38"/>
      <c r="F55" s="36">
        <v>3.0</v>
      </c>
      <c r="G55" s="36">
        <v>5.0</v>
      </c>
      <c r="H55" s="32" t="s">
        <v>74</v>
      </c>
      <c r="I55" s="36" t="s">
        <v>19</v>
      </c>
      <c r="J55" s="37"/>
      <c r="K55" s="36">
        <v>3.0</v>
      </c>
      <c r="L55" s="36">
        <v>5.0</v>
      </c>
    </row>
    <row r="56" ht="15.75" customHeight="1">
      <c r="A56" s="28"/>
      <c r="B56" s="28"/>
      <c r="C56" s="28"/>
      <c r="D56" s="38"/>
      <c r="E56" s="38"/>
      <c r="F56" s="36">
        <v>3.0</v>
      </c>
      <c r="G56" s="32">
        <v>5.0</v>
      </c>
      <c r="H56" s="32" t="s">
        <v>66</v>
      </c>
      <c r="I56" s="36" t="s">
        <v>19</v>
      </c>
      <c r="J56" s="37"/>
      <c r="K56" s="36">
        <v>3.0</v>
      </c>
      <c r="L56" s="36">
        <v>5.0</v>
      </c>
    </row>
    <row r="57" ht="15.75" customHeight="1">
      <c r="A57" s="14">
        <v>8.0</v>
      </c>
      <c r="B57" s="14" t="s">
        <v>133</v>
      </c>
      <c r="C57" s="17" t="s">
        <v>134</v>
      </c>
      <c r="D57" s="17"/>
      <c r="E57" s="17"/>
      <c r="F57" s="17"/>
      <c r="G57" s="17"/>
      <c r="H57" s="17"/>
      <c r="I57" s="17"/>
      <c r="J57" s="48"/>
      <c r="K57" s="26">
        <f t="shared" ref="K57:L57" si="8">SUM(K58:K60)</f>
        <v>12</v>
      </c>
      <c r="L57" s="26">
        <f t="shared" si="8"/>
        <v>21</v>
      </c>
    </row>
    <row r="58" ht="15.75" customHeight="1">
      <c r="A58" s="28"/>
      <c r="B58" s="28"/>
      <c r="C58" s="28"/>
      <c r="D58" s="34" t="s">
        <v>137</v>
      </c>
      <c r="E58" s="35" t="s">
        <v>138</v>
      </c>
      <c r="F58" s="36">
        <v>4.0</v>
      </c>
      <c r="G58" s="36">
        <v>7.0</v>
      </c>
      <c r="H58" s="32" t="s">
        <v>87</v>
      </c>
      <c r="I58" s="36" t="s">
        <v>19</v>
      </c>
      <c r="J58" s="37"/>
      <c r="K58" s="36">
        <v>4.0</v>
      </c>
      <c r="L58" s="36">
        <v>7.0</v>
      </c>
    </row>
    <row r="59" ht="15.75" customHeight="1">
      <c r="A59" s="28"/>
      <c r="B59" s="28"/>
      <c r="C59" s="28"/>
      <c r="D59" s="35"/>
      <c r="E59" s="35"/>
      <c r="F59" s="36">
        <v>4.0</v>
      </c>
      <c r="G59" s="36">
        <v>7.0</v>
      </c>
      <c r="H59" s="32" t="s">
        <v>74</v>
      </c>
      <c r="I59" s="36" t="s">
        <v>19</v>
      </c>
      <c r="J59" s="37"/>
      <c r="K59" s="36">
        <v>4.0</v>
      </c>
      <c r="L59" s="36">
        <v>7.0</v>
      </c>
    </row>
    <row r="60" ht="15.75" customHeight="1">
      <c r="A60" s="28"/>
      <c r="B60" s="28"/>
      <c r="C60" s="28"/>
      <c r="D60" s="35"/>
      <c r="E60" s="35"/>
      <c r="F60" s="36">
        <v>4.0</v>
      </c>
      <c r="G60" s="36">
        <v>7.0</v>
      </c>
      <c r="H60" s="32" t="s">
        <v>66</v>
      </c>
      <c r="I60" s="36" t="s">
        <v>19</v>
      </c>
      <c r="J60" s="37"/>
      <c r="K60" s="36">
        <v>4.0</v>
      </c>
      <c r="L60" s="36">
        <v>7.0</v>
      </c>
    </row>
    <row r="61" ht="15.75" customHeight="1">
      <c r="A61" s="14">
        <v>9.0</v>
      </c>
      <c r="B61" s="14" t="s">
        <v>140</v>
      </c>
      <c r="C61" s="17" t="s">
        <v>141</v>
      </c>
      <c r="D61" s="17"/>
      <c r="E61" s="17"/>
      <c r="F61" s="17"/>
      <c r="G61" s="17"/>
      <c r="H61" s="17"/>
      <c r="I61" s="17"/>
      <c r="J61" s="48"/>
      <c r="K61" s="26">
        <f t="shared" ref="K61:L61" si="9">SUM(K62:K70)</f>
        <v>18</v>
      </c>
      <c r="L61" s="26">
        <f t="shared" si="9"/>
        <v>30</v>
      </c>
    </row>
    <row r="62" ht="15.75" customHeight="1">
      <c r="A62" s="28"/>
      <c r="B62" s="28"/>
      <c r="C62" s="28"/>
      <c r="D62" s="34" t="s">
        <v>145</v>
      </c>
      <c r="E62" s="35" t="s">
        <v>146</v>
      </c>
      <c r="F62" s="36">
        <v>2.0</v>
      </c>
      <c r="G62" s="36">
        <v>2.0</v>
      </c>
      <c r="H62" s="32" t="s">
        <v>81</v>
      </c>
      <c r="I62" s="36" t="s">
        <v>19</v>
      </c>
      <c r="J62" s="37"/>
      <c r="K62" s="36">
        <v>2.0</v>
      </c>
      <c r="L62" s="36">
        <v>2.0</v>
      </c>
    </row>
    <row r="63" ht="15.75" customHeight="1">
      <c r="A63" s="28"/>
      <c r="B63" s="28"/>
      <c r="C63" s="28"/>
      <c r="D63" s="35"/>
      <c r="E63" s="35"/>
      <c r="F63" s="36">
        <v>2.0</v>
      </c>
      <c r="G63" s="36">
        <v>2.0</v>
      </c>
      <c r="H63" s="32" t="s">
        <v>82</v>
      </c>
      <c r="I63" s="36" t="s">
        <v>19</v>
      </c>
      <c r="J63" s="37"/>
      <c r="K63" s="36">
        <v>2.0</v>
      </c>
      <c r="L63" s="36">
        <v>2.0</v>
      </c>
    </row>
    <row r="64" ht="15.75" customHeight="1">
      <c r="A64" s="28"/>
      <c r="B64" s="28"/>
      <c r="C64" s="28"/>
      <c r="D64" s="35"/>
      <c r="E64" s="35"/>
      <c r="F64" s="36">
        <v>2.0</v>
      </c>
      <c r="G64" s="36">
        <v>2.0</v>
      </c>
      <c r="H64" s="32" t="s">
        <v>83</v>
      </c>
      <c r="I64" s="36" t="s">
        <v>19</v>
      </c>
      <c r="J64" s="37"/>
      <c r="K64" s="36">
        <v>2.0</v>
      </c>
      <c r="L64" s="36">
        <v>2.0</v>
      </c>
    </row>
    <row r="65" ht="15.75" customHeight="1">
      <c r="A65" s="28"/>
      <c r="B65" s="28"/>
      <c r="C65" s="38"/>
      <c r="D65" s="34" t="s">
        <v>147</v>
      </c>
      <c r="E65" s="35" t="s">
        <v>148</v>
      </c>
      <c r="F65" s="36">
        <v>2.0</v>
      </c>
      <c r="G65" s="36">
        <v>4.0</v>
      </c>
      <c r="H65" s="32" t="s">
        <v>81</v>
      </c>
      <c r="I65" s="36" t="s">
        <v>19</v>
      </c>
      <c r="J65" s="37"/>
      <c r="K65" s="36">
        <v>2.0</v>
      </c>
      <c r="L65" s="36">
        <v>4.0</v>
      </c>
    </row>
    <row r="66" ht="15.75" customHeight="1">
      <c r="A66" s="28"/>
      <c r="B66" s="28"/>
      <c r="C66" s="28"/>
      <c r="D66" s="38"/>
      <c r="E66" s="38"/>
      <c r="F66" s="36">
        <v>2.0</v>
      </c>
      <c r="G66" s="36">
        <v>4.0</v>
      </c>
      <c r="H66" s="32" t="s">
        <v>82</v>
      </c>
      <c r="I66" s="36" t="s">
        <v>19</v>
      </c>
      <c r="J66" s="37"/>
      <c r="K66" s="36">
        <v>2.0</v>
      </c>
      <c r="L66" s="36">
        <v>4.0</v>
      </c>
    </row>
    <row r="67" ht="15.75" customHeight="1">
      <c r="A67" s="28"/>
      <c r="B67" s="28"/>
      <c r="C67" s="28"/>
      <c r="D67" s="38"/>
      <c r="E67" s="38"/>
      <c r="F67" s="36">
        <v>2.0</v>
      </c>
      <c r="G67" s="36">
        <v>4.0</v>
      </c>
      <c r="H67" s="32" t="s">
        <v>83</v>
      </c>
      <c r="I67" s="36" t="s">
        <v>19</v>
      </c>
      <c r="J67" s="37"/>
      <c r="K67" s="36">
        <v>2.0</v>
      </c>
      <c r="L67" s="36">
        <v>4.0</v>
      </c>
    </row>
    <row r="68" ht="15.75" customHeight="1">
      <c r="A68" s="38"/>
      <c r="B68" s="38"/>
      <c r="C68" s="38"/>
      <c r="D68" s="34" t="s">
        <v>149</v>
      </c>
      <c r="E68" s="35" t="s">
        <v>150</v>
      </c>
      <c r="F68" s="36">
        <v>2.0</v>
      </c>
      <c r="G68" s="36">
        <v>4.0</v>
      </c>
      <c r="H68" s="32" t="s">
        <v>81</v>
      </c>
      <c r="I68" s="36" t="s">
        <v>19</v>
      </c>
      <c r="J68" s="37"/>
      <c r="K68" s="36">
        <v>2.0</v>
      </c>
      <c r="L68" s="36">
        <v>4.0</v>
      </c>
    </row>
    <row r="69" ht="15.75" customHeight="1">
      <c r="A69" s="38"/>
      <c r="B69" s="38"/>
      <c r="C69" s="38"/>
      <c r="D69" s="38"/>
      <c r="E69" s="38"/>
      <c r="F69" s="36">
        <v>2.0</v>
      </c>
      <c r="G69" s="36">
        <v>4.0</v>
      </c>
      <c r="H69" s="32" t="s">
        <v>82</v>
      </c>
      <c r="I69" s="36" t="s">
        <v>19</v>
      </c>
      <c r="J69" s="37"/>
      <c r="K69" s="36">
        <v>2.0</v>
      </c>
      <c r="L69" s="36">
        <v>4.0</v>
      </c>
    </row>
    <row r="70" ht="15.75" customHeight="1">
      <c r="A70" s="38"/>
      <c r="B70" s="38"/>
      <c r="C70" s="38"/>
      <c r="D70" s="38"/>
      <c r="E70" s="38"/>
      <c r="F70" s="36">
        <v>2.0</v>
      </c>
      <c r="G70" s="36">
        <v>4.0</v>
      </c>
      <c r="H70" s="32" t="s">
        <v>83</v>
      </c>
      <c r="I70" s="36" t="s">
        <v>19</v>
      </c>
      <c r="J70" s="37"/>
      <c r="K70" s="36">
        <v>2.0</v>
      </c>
      <c r="L70" s="36">
        <v>4.0</v>
      </c>
    </row>
    <row r="71" ht="15.75" customHeight="1">
      <c r="A71" s="14">
        <v>10.0</v>
      </c>
      <c r="B71" s="14" t="s">
        <v>155</v>
      </c>
      <c r="C71" s="17" t="s">
        <v>156</v>
      </c>
      <c r="D71" s="17"/>
      <c r="E71" s="17"/>
      <c r="F71" s="17"/>
      <c r="G71" s="17"/>
      <c r="H71" s="17"/>
      <c r="I71" s="17"/>
      <c r="J71" s="48"/>
      <c r="K71" s="26">
        <f t="shared" ref="K71:L71" si="10">SUM(K72:K77)</f>
        <v>12</v>
      </c>
      <c r="L71" s="26">
        <f t="shared" si="10"/>
        <v>12</v>
      </c>
    </row>
    <row r="72" ht="15.75" customHeight="1">
      <c r="A72" s="38"/>
      <c r="B72" s="38"/>
      <c r="C72" s="38"/>
      <c r="D72" s="34" t="s">
        <v>157</v>
      </c>
      <c r="E72" s="35" t="s">
        <v>158</v>
      </c>
      <c r="F72" s="36">
        <v>2.0</v>
      </c>
      <c r="G72" s="36">
        <v>2.0</v>
      </c>
      <c r="H72" s="32" t="s">
        <v>81</v>
      </c>
      <c r="I72" s="36" t="s">
        <v>19</v>
      </c>
      <c r="J72" s="37"/>
      <c r="K72" s="36">
        <v>2.0</v>
      </c>
      <c r="L72" s="36">
        <v>2.0</v>
      </c>
    </row>
    <row r="73" ht="15.75" customHeight="1">
      <c r="A73" s="38"/>
      <c r="B73" s="38"/>
      <c r="C73" s="38"/>
      <c r="D73" s="38"/>
      <c r="E73" s="38"/>
      <c r="F73" s="36">
        <v>2.0</v>
      </c>
      <c r="G73" s="36">
        <v>2.0</v>
      </c>
      <c r="H73" s="32" t="s">
        <v>82</v>
      </c>
      <c r="I73" s="36" t="s">
        <v>19</v>
      </c>
      <c r="J73" s="37"/>
      <c r="K73" s="36">
        <v>2.0</v>
      </c>
      <c r="L73" s="36">
        <v>2.0</v>
      </c>
    </row>
    <row r="74" ht="15.75" customHeight="1">
      <c r="A74" s="38"/>
      <c r="B74" s="38"/>
      <c r="C74" s="38"/>
      <c r="D74" s="38"/>
      <c r="E74" s="38"/>
      <c r="F74" s="36">
        <v>2.0</v>
      </c>
      <c r="G74" s="36">
        <v>2.0</v>
      </c>
      <c r="H74" s="32" t="s">
        <v>83</v>
      </c>
      <c r="I74" s="36" t="s">
        <v>19</v>
      </c>
      <c r="J74" s="37"/>
      <c r="K74" s="36">
        <v>2.0</v>
      </c>
      <c r="L74" s="36">
        <v>2.0</v>
      </c>
    </row>
    <row r="75" ht="15.75" customHeight="1">
      <c r="A75" s="28"/>
      <c r="B75" s="28"/>
      <c r="C75" s="28"/>
      <c r="D75" s="34" t="s">
        <v>163</v>
      </c>
      <c r="E75" s="35" t="s">
        <v>164</v>
      </c>
      <c r="F75" s="36">
        <v>2.0</v>
      </c>
      <c r="G75" s="36">
        <v>2.0</v>
      </c>
      <c r="H75" s="32" t="s">
        <v>81</v>
      </c>
      <c r="I75" s="36" t="s">
        <v>19</v>
      </c>
      <c r="J75" s="37"/>
      <c r="K75" s="36">
        <v>2.0</v>
      </c>
      <c r="L75" s="36">
        <v>2.0</v>
      </c>
    </row>
    <row r="76" ht="15.75" customHeight="1">
      <c r="A76" s="38"/>
      <c r="B76" s="38"/>
      <c r="C76" s="38"/>
      <c r="D76" s="38"/>
      <c r="E76" s="38"/>
      <c r="F76" s="36">
        <v>2.0</v>
      </c>
      <c r="G76" s="36">
        <v>2.0</v>
      </c>
      <c r="H76" s="32" t="s">
        <v>82</v>
      </c>
      <c r="I76" s="36" t="s">
        <v>19</v>
      </c>
      <c r="J76" s="37"/>
      <c r="K76" s="36">
        <v>2.0</v>
      </c>
      <c r="L76" s="36">
        <v>2.0</v>
      </c>
    </row>
    <row r="77" ht="15.75" customHeight="1">
      <c r="A77" s="38"/>
      <c r="B77" s="38"/>
      <c r="C77" s="38"/>
      <c r="D77" s="38"/>
      <c r="E77" s="38"/>
      <c r="F77" s="36">
        <v>2.0</v>
      </c>
      <c r="G77" s="36">
        <v>2.0</v>
      </c>
      <c r="H77" s="32" t="s">
        <v>83</v>
      </c>
      <c r="I77" s="36" t="s">
        <v>19</v>
      </c>
      <c r="J77" s="37"/>
      <c r="K77" s="36">
        <v>2.0</v>
      </c>
      <c r="L77" s="36">
        <v>2.0</v>
      </c>
    </row>
    <row r="78" ht="15.75" customHeight="1">
      <c r="A78" s="14">
        <v>11.0</v>
      </c>
      <c r="B78" s="14" t="s">
        <v>165</v>
      </c>
      <c r="C78" s="17" t="s">
        <v>166</v>
      </c>
      <c r="D78" s="17"/>
      <c r="E78" s="17"/>
      <c r="F78" s="17"/>
      <c r="G78" s="17"/>
      <c r="H78" s="17"/>
      <c r="I78" s="17"/>
      <c r="J78" s="48"/>
      <c r="K78" s="26">
        <f t="shared" ref="K78:L78" si="11">SUM(K79:K81)</f>
        <v>6</v>
      </c>
      <c r="L78" s="26">
        <f t="shared" si="11"/>
        <v>6</v>
      </c>
    </row>
    <row r="79" ht="15.75" customHeight="1">
      <c r="A79" s="49"/>
      <c r="B79" s="49"/>
      <c r="C79" s="49"/>
      <c r="D79" s="50" t="s">
        <v>170</v>
      </c>
      <c r="E79" s="41" t="s">
        <v>172</v>
      </c>
      <c r="F79" s="36">
        <v>2.0</v>
      </c>
      <c r="G79" s="36">
        <v>2.0</v>
      </c>
      <c r="H79" s="32" t="s">
        <v>29</v>
      </c>
      <c r="I79" s="36" t="s">
        <v>19</v>
      </c>
      <c r="J79" s="37"/>
      <c r="K79" s="36">
        <v>2.0</v>
      </c>
      <c r="L79" s="36">
        <v>2.0</v>
      </c>
    </row>
    <row r="80" ht="15.75" customHeight="1">
      <c r="A80" s="49"/>
      <c r="B80" s="49"/>
      <c r="C80" s="49"/>
      <c r="D80" s="49"/>
      <c r="E80" s="49"/>
      <c r="F80" s="36">
        <v>2.0</v>
      </c>
      <c r="G80" s="36">
        <v>2.0</v>
      </c>
      <c r="H80" s="32" t="s">
        <v>33</v>
      </c>
      <c r="I80" s="36" t="s">
        <v>19</v>
      </c>
      <c r="J80" s="37"/>
      <c r="K80" s="36">
        <v>2.0</v>
      </c>
      <c r="L80" s="36">
        <v>2.0</v>
      </c>
    </row>
    <row r="81" ht="15.75" customHeight="1">
      <c r="A81" s="49"/>
      <c r="B81" s="49"/>
      <c r="C81" s="49"/>
      <c r="D81" s="49"/>
      <c r="E81" s="49"/>
      <c r="F81" s="36">
        <v>2.0</v>
      </c>
      <c r="G81" s="36">
        <v>2.0</v>
      </c>
      <c r="H81" s="32" t="s">
        <v>35</v>
      </c>
      <c r="I81" s="36" t="s">
        <v>19</v>
      </c>
      <c r="J81" s="37"/>
      <c r="K81" s="36">
        <v>2.0</v>
      </c>
      <c r="L81" s="36">
        <v>2.0</v>
      </c>
    </row>
    <row r="82" ht="15.75" customHeight="1">
      <c r="A82" s="14">
        <v>12.0</v>
      </c>
      <c r="B82" s="14" t="s">
        <v>177</v>
      </c>
      <c r="C82" s="17" t="s">
        <v>178</v>
      </c>
      <c r="D82" s="17"/>
      <c r="E82" s="17"/>
      <c r="F82" s="17"/>
      <c r="G82" s="17"/>
      <c r="H82" s="17"/>
      <c r="I82" s="17"/>
      <c r="J82" s="51"/>
      <c r="K82" s="52">
        <f t="shared" ref="K82:L82" si="12">SUM(K83:K85)</f>
        <v>6</v>
      </c>
      <c r="L82" s="52">
        <f t="shared" si="12"/>
        <v>6</v>
      </c>
    </row>
    <row r="83" ht="15.75" customHeight="1">
      <c r="A83" s="49"/>
      <c r="B83" s="28"/>
      <c r="C83" s="53"/>
      <c r="D83" s="30" t="s">
        <v>185</v>
      </c>
      <c r="E83" s="28" t="s">
        <v>186</v>
      </c>
      <c r="F83" s="54">
        <v>2.0</v>
      </c>
      <c r="G83" s="54">
        <v>2.0</v>
      </c>
      <c r="H83" s="32" t="s">
        <v>29</v>
      </c>
      <c r="I83" s="36" t="s">
        <v>19</v>
      </c>
      <c r="J83" s="55"/>
      <c r="K83" s="54">
        <v>2.0</v>
      </c>
      <c r="L83" s="54">
        <v>2.0</v>
      </c>
    </row>
    <row r="84" ht="15.75" customHeight="1">
      <c r="A84" s="49"/>
      <c r="B84" s="28"/>
      <c r="C84" s="28"/>
      <c r="D84" s="28"/>
      <c r="E84" s="28"/>
      <c r="F84" s="54">
        <v>2.0</v>
      </c>
      <c r="G84" s="54">
        <v>2.0</v>
      </c>
      <c r="H84" s="32" t="s">
        <v>33</v>
      </c>
      <c r="I84" s="36" t="s">
        <v>19</v>
      </c>
      <c r="J84" s="55"/>
      <c r="K84" s="54">
        <v>2.0</v>
      </c>
      <c r="L84" s="54">
        <v>2.0</v>
      </c>
    </row>
    <row r="85" ht="15.75" customHeight="1">
      <c r="A85" s="49"/>
      <c r="B85" s="49"/>
      <c r="C85" s="49"/>
      <c r="D85" s="49"/>
      <c r="E85" s="49"/>
      <c r="F85" s="54">
        <v>2.0</v>
      </c>
      <c r="G85" s="54">
        <v>2.0</v>
      </c>
      <c r="H85" s="32" t="s">
        <v>35</v>
      </c>
      <c r="I85" s="36" t="s">
        <v>19</v>
      </c>
      <c r="J85" s="55"/>
      <c r="K85" s="54">
        <v>2.0</v>
      </c>
      <c r="L85" s="54">
        <v>2.0</v>
      </c>
    </row>
    <row r="86" ht="15.75" customHeight="1">
      <c r="A86" s="14">
        <v>13.0</v>
      </c>
      <c r="B86" s="57" t="s">
        <v>191</v>
      </c>
      <c r="C86" s="58" t="s">
        <v>194</v>
      </c>
      <c r="D86" s="17"/>
      <c r="E86" s="17"/>
      <c r="F86" s="17"/>
      <c r="G86" s="17"/>
      <c r="H86" s="17"/>
      <c r="I86" s="17"/>
      <c r="J86" s="51"/>
      <c r="K86" s="52">
        <f t="shared" ref="K86:L86" si="13">SUM(K87:K92)</f>
        <v>12</v>
      </c>
      <c r="L86" s="52">
        <f t="shared" si="13"/>
        <v>12</v>
      </c>
    </row>
    <row r="87" ht="15.75" customHeight="1">
      <c r="A87" s="49"/>
      <c r="B87" s="28"/>
      <c r="C87" s="53"/>
      <c r="D87" s="30" t="s">
        <v>199</v>
      </c>
      <c r="E87" s="28" t="s">
        <v>200</v>
      </c>
      <c r="F87" s="54">
        <v>2.0</v>
      </c>
      <c r="G87" s="54">
        <v>2.0</v>
      </c>
      <c r="H87" s="32" t="s">
        <v>29</v>
      </c>
      <c r="I87" s="36" t="s">
        <v>19</v>
      </c>
      <c r="J87" s="55"/>
      <c r="K87" s="54">
        <v>2.0</v>
      </c>
      <c r="L87" s="54">
        <v>2.0</v>
      </c>
    </row>
    <row r="88" ht="15.75" customHeight="1">
      <c r="A88" s="49"/>
      <c r="B88" s="28"/>
      <c r="C88" s="28"/>
      <c r="D88" s="28"/>
      <c r="E88" s="28"/>
      <c r="F88" s="54">
        <v>2.0</v>
      </c>
      <c r="G88" s="54">
        <v>2.0</v>
      </c>
      <c r="H88" s="32" t="s">
        <v>33</v>
      </c>
      <c r="I88" s="36" t="s">
        <v>19</v>
      </c>
      <c r="J88" s="55"/>
      <c r="K88" s="54">
        <v>2.0</v>
      </c>
      <c r="L88" s="54">
        <v>2.0</v>
      </c>
    </row>
    <row r="89" ht="15.75" customHeight="1">
      <c r="A89" s="49"/>
      <c r="B89" s="49"/>
      <c r="C89" s="49"/>
      <c r="D89" s="49"/>
      <c r="E89" s="49"/>
      <c r="F89" s="54">
        <v>2.0</v>
      </c>
      <c r="G89" s="54">
        <v>2.0</v>
      </c>
      <c r="H89" s="32" t="s">
        <v>35</v>
      </c>
      <c r="I89" s="36" t="s">
        <v>19</v>
      </c>
      <c r="J89" s="55"/>
      <c r="K89" s="54">
        <v>2.0</v>
      </c>
      <c r="L89" s="54">
        <v>2.0</v>
      </c>
    </row>
    <row r="90" ht="15.75" customHeight="1">
      <c r="A90" s="49"/>
      <c r="B90" s="49"/>
      <c r="C90" s="49"/>
      <c r="D90" s="30" t="s">
        <v>199</v>
      </c>
      <c r="E90" s="28" t="s">
        <v>200</v>
      </c>
      <c r="F90" s="54">
        <v>2.0</v>
      </c>
      <c r="G90" s="54">
        <v>2.0</v>
      </c>
      <c r="H90" s="32" t="s">
        <v>81</v>
      </c>
      <c r="I90" s="36" t="s">
        <v>19</v>
      </c>
      <c r="J90" s="55"/>
      <c r="K90" s="54">
        <v>2.0</v>
      </c>
      <c r="L90" s="54">
        <v>2.0</v>
      </c>
    </row>
    <row r="91" ht="15.75" customHeight="1">
      <c r="A91" s="49"/>
      <c r="B91" s="49"/>
      <c r="C91" s="49"/>
      <c r="D91" s="32"/>
      <c r="E91" s="28"/>
      <c r="F91" s="32">
        <v>2.0</v>
      </c>
      <c r="G91" s="32">
        <v>2.0</v>
      </c>
      <c r="H91" s="32" t="s">
        <v>82</v>
      </c>
      <c r="I91" s="32" t="s">
        <v>19</v>
      </c>
      <c r="J91" s="33"/>
      <c r="K91" s="32">
        <v>2.0</v>
      </c>
      <c r="L91" s="32">
        <v>2.0</v>
      </c>
    </row>
    <row r="92" ht="15.75" customHeight="1">
      <c r="A92" s="49"/>
      <c r="B92" s="49"/>
      <c r="C92" s="49"/>
      <c r="D92" s="32"/>
      <c r="E92" s="28"/>
      <c r="F92" s="36">
        <v>2.0</v>
      </c>
      <c r="G92" s="36">
        <v>2.0</v>
      </c>
      <c r="H92" s="32" t="s">
        <v>83</v>
      </c>
      <c r="I92" s="36" t="s">
        <v>19</v>
      </c>
      <c r="J92" s="37"/>
      <c r="K92" s="36">
        <v>2.0</v>
      </c>
      <c r="L92" s="36">
        <v>2.0</v>
      </c>
    </row>
    <row r="93" ht="15.75" customHeight="1">
      <c r="A93" s="14">
        <v>14.0</v>
      </c>
      <c r="B93" s="57" t="s">
        <v>202</v>
      </c>
      <c r="C93" s="58" t="s">
        <v>203</v>
      </c>
      <c r="D93" s="17"/>
      <c r="E93" s="17"/>
      <c r="F93" s="17"/>
      <c r="G93" s="17"/>
      <c r="H93" s="17"/>
      <c r="I93" s="17"/>
      <c r="J93" s="51"/>
      <c r="K93" s="52">
        <f t="shared" ref="K93:L93" si="14">SUM(K94)</f>
        <v>3</v>
      </c>
      <c r="L93" s="52">
        <f t="shared" si="14"/>
        <v>5</v>
      </c>
    </row>
    <row r="94" ht="15.75" customHeight="1">
      <c r="A94" s="49"/>
      <c r="B94" s="28"/>
      <c r="C94" s="28"/>
      <c r="D94" s="30" t="s">
        <v>204</v>
      </c>
      <c r="E94" s="28" t="s">
        <v>206</v>
      </c>
      <c r="F94" s="54">
        <v>3.0</v>
      </c>
      <c r="G94" s="54">
        <v>5.0</v>
      </c>
      <c r="H94" s="32" t="s">
        <v>87</v>
      </c>
      <c r="I94" s="36" t="s">
        <v>19</v>
      </c>
      <c r="J94" s="55"/>
      <c r="K94" s="54">
        <v>3.0</v>
      </c>
      <c r="L94" s="54">
        <v>5.0</v>
      </c>
    </row>
    <row r="95" ht="15.75" customHeight="1">
      <c r="A95" s="14">
        <v>15.0</v>
      </c>
      <c r="B95" s="57" t="s">
        <v>208</v>
      </c>
      <c r="C95" s="58" t="s">
        <v>209</v>
      </c>
      <c r="D95" s="17"/>
      <c r="E95" s="17"/>
      <c r="F95" s="17"/>
      <c r="G95" s="17"/>
      <c r="H95" s="17"/>
      <c r="I95" s="17"/>
      <c r="J95" s="51"/>
      <c r="K95" s="52">
        <f t="shared" ref="K95:L95" si="15">SUM(K96)</f>
        <v>3</v>
      </c>
      <c r="L95" s="52">
        <f t="shared" si="15"/>
        <v>5</v>
      </c>
    </row>
    <row r="96" ht="15.75" customHeight="1">
      <c r="A96" s="49"/>
      <c r="B96" s="28"/>
      <c r="C96" s="53"/>
      <c r="D96" s="30" t="s">
        <v>204</v>
      </c>
      <c r="E96" s="28" t="s">
        <v>206</v>
      </c>
      <c r="F96" s="54">
        <v>3.0</v>
      </c>
      <c r="G96" s="54">
        <v>5.0</v>
      </c>
      <c r="H96" s="32" t="s">
        <v>66</v>
      </c>
      <c r="I96" s="36" t="s">
        <v>19</v>
      </c>
      <c r="J96" s="55"/>
      <c r="K96" s="54">
        <v>3.0</v>
      </c>
      <c r="L96" s="54">
        <v>5.0</v>
      </c>
    </row>
    <row r="97" ht="15.75" customHeight="1">
      <c r="A97" s="14">
        <v>16.0</v>
      </c>
      <c r="B97" s="57" t="s">
        <v>187</v>
      </c>
      <c r="C97" s="58" t="s">
        <v>188</v>
      </c>
      <c r="D97" s="17"/>
      <c r="E97" s="17"/>
      <c r="F97" s="17"/>
      <c r="G97" s="17"/>
      <c r="H97" s="17"/>
      <c r="I97" s="17"/>
      <c r="J97" s="51"/>
      <c r="K97" s="52">
        <f t="shared" ref="K97:L97" si="16">SUM(K98:K100)</f>
        <v>6</v>
      </c>
      <c r="L97" s="52">
        <f t="shared" si="16"/>
        <v>6</v>
      </c>
    </row>
    <row r="98" ht="15.75" customHeight="1">
      <c r="A98" s="49"/>
      <c r="B98" s="28"/>
      <c r="C98" s="53"/>
      <c r="D98" s="30" t="s">
        <v>214</v>
      </c>
      <c r="E98" s="28" t="s">
        <v>215</v>
      </c>
      <c r="F98" s="54">
        <v>2.0</v>
      </c>
      <c r="G98" s="54">
        <v>2.0</v>
      </c>
      <c r="H98" s="32" t="s">
        <v>87</v>
      </c>
      <c r="I98" s="36" t="s">
        <v>19</v>
      </c>
      <c r="J98" s="55"/>
      <c r="K98" s="54">
        <v>2.0</v>
      </c>
      <c r="L98" s="54">
        <v>2.0</v>
      </c>
    </row>
    <row r="99" ht="15.75" customHeight="1">
      <c r="A99" s="49"/>
      <c r="B99" s="28"/>
      <c r="C99" s="28"/>
      <c r="D99" s="28"/>
      <c r="E99" s="28"/>
      <c r="F99" s="54">
        <v>2.0</v>
      </c>
      <c r="G99" s="54">
        <v>2.0</v>
      </c>
      <c r="H99" s="32" t="s">
        <v>74</v>
      </c>
      <c r="I99" s="36" t="s">
        <v>19</v>
      </c>
      <c r="J99" s="55"/>
      <c r="K99" s="54">
        <v>2.0</v>
      </c>
      <c r="L99" s="54">
        <v>2.0</v>
      </c>
    </row>
    <row r="100" ht="15.75" customHeight="1">
      <c r="A100" s="49"/>
      <c r="B100" s="49"/>
      <c r="C100" s="49"/>
      <c r="D100" s="49"/>
      <c r="E100" s="49"/>
      <c r="F100" s="54">
        <v>2.0</v>
      </c>
      <c r="G100" s="54">
        <v>2.0</v>
      </c>
      <c r="H100" s="32" t="s">
        <v>66</v>
      </c>
      <c r="I100" s="36" t="s">
        <v>19</v>
      </c>
      <c r="J100" s="55"/>
      <c r="K100" s="54">
        <v>2.0</v>
      </c>
      <c r="L100" s="54">
        <v>2.0</v>
      </c>
    </row>
    <row r="101" ht="15.75" customHeight="1">
      <c r="A101" s="14">
        <v>17.0</v>
      </c>
      <c r="B101" s="57" t="s">
        <v>135</v>
      </c>
      <c r="C101" s="58" t="s">
        <v>136</v>
      </c>
      <c r="D101" s="17"/>
      <c r="E101" s="17"/>
      <c r="F101" s="17"/>
      <c r="G101" s="17"/>
      <c r="H101" s="17"/>
      <c r="I101" s="17"/>
      <c r="J101" s="51"/>
      <c r="K101" s="52">
        <f t="shared" ref="K101:L101" si="17">SUM(K102)</f>
        <v>3</v>
      </c>
      <c r="L101" s="52">
        <f t="shared" si="17"/>
        <v>5</v>
      </c>
    </row>
    <row r="102" ht="15.75" customHeight="1">
      <c r="A102" s="49"/>
      <c r="B102" s="28"/>
      <c r="C102" s="53"/>
      <c r="D102" s="30" t="s">
        <v>204</v>
      </c>
      <c r="E102" s="28" t="s">
        <v>206</v>
      </c>
      <c r="F102" s="54">
        <v>3.0</v>
      </c>
      <c r="G102" s="54">
        <v>5.0</v>
      </c>
      <c r="H102" s="32" t="s">
        <v>74</v>
      </c>
      <c r="I102" s="36" t="s">
        <v>19</v>
      </c>
      <c r="J102" s="55"/>
      <c r="K102" s="54">
        <v>3.0</v>
      </c>
      <c r="L102" s="54">
        <v>5.0</v>
      </c>
    </row>
    <row r="103" ht="15.75" customHeight="1">
      <c r="A103" s="14">
        <v>18.0</v>
      </c>
      <c r="B103" s="57" t="s">
        <v>175</v>
      </c>
      <c r="C103" s="58" t="s">
        <v>176</v>
      </c>
      <c r="D103" s="17"/>
      <c r="E103" s="17"/>
      <c r="F103" s="17"/>
      <c r="G103" s="17"/>
      <c r="H103" s="17"/>
      <c r="I103" s="17"/>
      <c r="J103" s="51"/>
      <c r="K103" s="52">
        <f t="shared" ref="K103:L103" si="18">SUM(K104:K106)</f>
        <v>6</v>
      </c>
      <c r="L103" s="52">
        <f t="shared" si="18"/>
        <v>6</v>
      </c>
    </row>
    <row r="104" ht="15.75" customHeight="1">
      <c r="A104" s="49"/>
      <c r="B104" s="28"/>
      <c r="C104" s="53"/>
      <c r="D104" s="30" t="s">
        <v>205</v>
      </c>
      <c r="E104" s="28" t="s">
        <v>220</v>
      </c>
      <c r="F104" s="54">
        <v>2.0</v>
      </c>
      <c r="G104" s="54">
        <v>2.0</v>
      </c>
      <c r="H104" s="32" t="s">
        <v>87</v>
      </c>
      <c r="I104" s="36" t="s">
        <v>19</v>
      </c>
      <c r="J104" s="55"/>
      <c r="K104" s="54">
        <v>2.0</v>
      </c>
      <c r="L104" s="54">
        <v>2.0</v>
      </c>
    </row>
    <row r="105" ht="15.75" customHeight="1">
      <c r="A105" s="49"/>
      <c r="B105" s="28"/>
      <c r="C105" s="28"/>
      <c r="D105" s="28"/>
      <c r="E105" s="28"/>
      <c r="F105" s="54">
        <v>2.0</v>
      </c>
      <c r="G105" s="54">
        <v>2.0</v>
      </c>
      <c r="H105" s="32" t="s">
        <v>74</v>
      </c>
      <c r="I105" s="36" t="s">
        <v>19</v>
      </c>
      <c r="J105" s="55"/>
      <c r="K105" s="54">
        <v>2.0</v>
      </c>
      <c r="L105" s="54">
        <v>2.0</v>
      </c>
    </row>
    <row r="106" ht="15.75" customHeight="1">
      <c r="A106" s="49"/>
      <c r="B106" s="49"/>
      <c r="C106" s="49"/>
      <c r="D106" s="49"/>
      <c r="E106" s="49"/>
      <c r="F106" s="54">
        <v>2.0</v>
      </c>
      <c r="G106" s="54">
        <v>2.0</v>
      </c>
      <c r="H106" s="32" t="s">
        <v>66</v>
      </c>
      <c r="I106" s="36" t="s">
        <v>19</v>
      </c>
      <c r="J106" s="55"/>
      <c r="K106" s="54">
        <v>2.0</v>
      </c>
      <c r="L106" s="54">
        <v>2.0</v>
      </c>
    </row>
    <row r="107" ht="15.75" customHeight="1">
      <c r="A107" s="14">
        <v>19.0</v>
      </c>
      <c r="B107" s="57" t="s">
        <v>221</v>
      </c>
      <c r="C107" s="58" t="s">
        <v>222</v>
      </c>
      <c r="D107" s="17"/>
      <c r="E107" s="17"/>
      <c r="F107" s="17"/>
      <c r="G107" s="17"/>
      <c r="H107" s="17"/>
      <c r="I107" s="17"/>
      <c r="J107" s="51"/>
      <c r="K107" s="52">
        <f t="shared" ref="K107:L107" si="19">SUM(K108:K110)</f>
        <v>6</v>
      </c>
      <c r="L107" s="52">
        <f t="shared" si="19"/>
        <v>6</v>
      </c>
    </row>
    <row r="108" ht="15.75" customHeight="1">
      <c r="A108" s="49"/>
      <c r="B108" s="28"/>
      <c r="C108" s="53"/>
      <c r="D108" s="30" t="s">
        <v>223</v>
      </c>
      <c r="E108" s="28" t="s">
        <v>224</v>
      </c>
      <c r="F108" s="54">
        <v>2.0</v>
      </c>
      <c r="G108" s="54">
        <v>2.0</v>
      </c>
      <c r="H108" s="32" t="s">
        <v>42</v>
      </c>
      <c r="I108" s="36" t="s">
        <v>19</v>
      </c>
      <c r="J108" s="55"/>
      <c r="K108" s="54">
        <v>2.0</v>
      </c>
      <c r="L108" s="54">
        <v>2.0</v>
      </c>
    </row>
    <row r="109" ht="15.75" customHeight="1">
      <c r="A109" s="49"/>
      <c r="B109" s="28"/>
      <c r="C109" s="28"/>
      <c r="D109" s="28"/>
      <c r="E109" s="28"/>
      <c r="F109" s="54">
        <v>2.0</v>
      </c>
      <c r="G109" s="54">
        <v>2.0</v>
      </c>
      <c r="H109" s="32" t="s">
        <v>43</v>
      </c>
      <c r="I109" s="36" t="s">
        <v>19</v>
      </c>
      <c r="J109" s="55"/>
      <c r="K109" s="54">
        <v>2.0</v>
      </c>
      <c r="L109" s="54">
        <v>2.0</v>
      </c>
    </row>
    <row r="110" ht="15.75" customHeight="1">
      <c r="A110" s="49"/>
      <c r="B110" s="49"/>
      <c r="C110" s="49"/>
      <c r="D110" s="49"/>
      <c r="E110" s="49"/>
      <c r="F110" s="54">
        <v>2.0</v>
      </c>
      <c r="G110" s="54">
        <v>2.0</v>
      </c>
      <c r="H110" s="32" t="s">
        <v>48</v>
      </c>
      <c r="I110" s="36" t="s">
        <v>19</v>
      </c>
      <c r="J110" s="55"/>
      <c r="K110" s="54">
        <v>2.0</v>
      </c>
      <c r="L110" s="54">
        <v>2.0</v>
      </c>
    </row>
    <row r="111" ht="15.75" customHeight="1">
      <c r="A111" s="14">
        <v>20.0</v>
      </c>
      <c r="B111" s="57" t="s">
        <v>228</v>
      </c>
      <c r="C111" s="58" t="s">
        <v>229</v>
      </c>
      <c r="D111" s="17"/>
      <c r="E111" s="17"/>
      <c r="F111" s="17"/>
      <c r="G111" s="17"/>
      <c r="H111" s="17"/>
      <c r="I111" s="17"/>
      <c r="J111" s="51"/>
      <c r="K111" s="52">
        <f t="shared" ref="K111:L111" si="20">SUM(K112)</f>
        <v>3</v>
      </c>
      <c r="L111" s="52">
        <f t="shared" si="20"/>
        <v>3</v>
      </c>
    </row>
    <row r="112" ht="15.75" customHeight="1">
      <c r="A112" s="49"/>
      <c r="B112" s="28"/>
      <c r="C112" s="53"/>
      <c r="D112" s="30" t="s">
        <v>230</v>
      </c>
      <c r="E112" s="28" t="s">
        <v>231</v>
      </c>
      <c r="F112" s="54">
        <v>3.0</v>
      </c>
      <c r="G112" s="54">
        <v>3.0</v>
      </c>
      <c r="H112" s="32" t="s">
        <v>42</v>
      </c>
      <c r="I112" s="36" t="s">
        <v>19</v>
      </c>
      <c r="J112" s="55"/>
      <c r="K112" s="54">
        <v>3.0</v>
      </c>
      <c r="L112" s="54">
        <v>3.0</v>
      </c>
    </row>
    <row r="113" ht="15.75" customHeight="1">
      <c r="A113" s="14">
        <v>21.0</v>
      </c>
      <c r="B113" s="57" t="s">
        <v>232</v>
      </c>
      <c r="C113" s="58" t="s">
        <v>233</v>
      </c>
      <c r="D113" s="17"/>
      <c r="E113" s="17"/>
      <c r="F113" s="17"/>
      <c r="G113" s="17"/>
      <c r="H113" s="17"/>
      <c r="I113" s="17"/>
      <c r="J113" s="51"/>
      <c r="K113" s="52">
        <f t="shared" ref="K113:L113" si="21">SUM(K114)</f>
        <v>3</v>
      </c>
      <c r="L113" s="52">
        <f t="shared" si="21"/>
        <v>3</v>
      </c>
    </row>
    <row r="114" ht="15.75" customHeight="1">
      <c r="A114" s="49"/>
      <c r="B114" s="28"/>
      <c r="C114" s="53"/>
      <c r="D114" s="30" t="s">
        <v>236</v>
      </c>
      <c r="E114" s="28" t="s">
        <v>237</v>
      </c>
      <c r="F114" s="54">
        <v>3.0</v>
      </c>
      <c r="G114" s="54">
        <v>3.0</v>
      </c>
      <c r="H114" s="32" t="s">
        <v>42</v>
      </c>
      <c r="I114" s="36" t="s">
        <v>19</v>
      </c>
      <c r="J114" s="55"/>
      <c r="K114" s="54">
        <v>3.0</v>
      </c>
      <c r="L114" s="54">
        <v>3.0</v>
      </c>
    </row>
    <row r="115" ht="15.75" customHeight="1">
      <c r="A115" s="14">
        <v>22.0</v>
      </c>
      <c r="B115" s="57" t="s">
        <v>239</v>
      </c>
      <c r="C115" s="58" t="s">
        <v>240</v>
      </c>
      <c r="D115" s="17"/>
      <c r="E115" s="17"/>
      <c r="F115" s="17"/>
      <c r="G115" s="17"/>
      <c r="H115" s="17"/>
      <c r="I115" s="17"/>
      <c r="J115" s="51"/>
      <c r="K115" s="52">
        <f t="shared" ref="K115:L115" si="22">SUM(K116)</f>
        <v>3</v>
      </c>
      <c r="L115" s="52">
        <f t="shared" si="22"/>
        <v>3</v>
      </c>
    </row>
    <row r="116" ht="15.75" customHeight="1">
      <c r="A116" s="49"/>
      <c r="B116" s="28"/>
      <c r="C116" s="53"/>
      <c r="D116" s="30" t="s">
        <v>241</v>
      </c>
      <c r="E116" s="28" t="s">
        <v>242</v>
      </c>
      <c r="F116" s="54">
        <v>3.0</v>
      </c>
      <c r="G116" s="54">
        <v>3.0</v>
      </c>
      <c r="H116" s="32" t="s">
        <v>42</v>
      </c>
      <c r="I116" s="36" t="s">
        <v>19</v>
      </c>
      <c r="J116" s="55"/>
      <c r="K116" s="54">
        <v>3.0</v>
      </c>
      <c r="L116" s="54">
        <v>3.0</v>
      </c>
    </row>
    <row r="117" ht="15.75" customHeight="1">
      <c r="A117" s="14">
        <v>23.0</v>
      </c>
      <c r="B117" s="57" t="s">
        <v>245</v>
      </c>
      <c r="C117" s="58" t="s">
        <v>246</v>
      </c>
      <c r="D117" s="17"/>
      <c r="E117" s="17"/>
      <c r="F117" s="17"/>
      <c r="G117" s="17"/>
      <c r="H117" s="17"/>
      <c r="I117" s="17"/>
      <c r="J117" s="51"/>
      <c r="K117" s="52">
        <f t="shared" ref="K117:L117" si="23">SUM(K118)</f>
        <v>3</v>
      </c>
      <c r="L117" s="52">
        <f t="shared" si="23"/>
        <v>3</v>
      </c>
    </row>
    <row r="118" ht="15.75" customHeight="1">
      <c r="A118" s="49"/>
      <c r="B118" s="28"/>
      <c r="C118" s="53"/>
      <c r="D118" s="30" t="s">
        <v>241</v>
      </c>
      <c r="E118" s="28" t="s">
        <v>242</v>
      </c>
      <c r="F118" s="54">
        <v>3.0</v>
      </c>
      <c r="G118" s="54">
        <v>3.0</v>
      </c>
      <c r="H118" s="32" t="s">
        <v>48</v>
      </c>
      <c r="I118" s="36" t="s">
        <v>19</v>
      </c>
      <c r="J118" s="55"/>
      <c r="K118" s="54">
        <v>3.0</v>
      </c>
      <c r="L118" s="54">
        <v>3.0</v>
      </c>
    </row>
    <row r="119" ht="15.75" customHeight="1">
      <c r="A119" s="14">
        <v>24.0</v>
      </c>
      <c r="B119" s="57" t="s">
        <v>247</v>
      </c>
      <c r="C119" s="58" t="s">
        <v>248</v>
      </c>
      <c r="D119" s="17"/>
      <c r="E119" s="17"/>
      <c r="F119" s="17"/>
      <c r="G119" s="17"/>
      <c r="H119" s="17"/>
      <c r="I119" s="17"/>
      <c r="J119" s="51"/>
      <c r="K119" s="52">
        <f t="shared" ref="K119:L119" si="24">SUM(K120)</f>
        <v>3</v>
      </c>
      <c r="L119" s="52">
        <f t="shared" si="24"/>
        <v>3</v>
      </c>
    </row>
    <row r="120" ht="15.75" customHeight="1">
      <c r="A120" s="49"/>
      <c r="B120" s="28"/>
      <c r="C120" s="53"/>
      <c r="D120" s="30" t="s">
        <v>230</v>
      </c>
      <c r="E120" s="28" t="s">
        <v>231</v>
      </c>
      <c r="F120" s="54">
        <v>3.0</v>
      </c>
      <c r="G120" s="54">
        <v>3.0</v>
      </c>
      <c r="H120" s="32" t="s">
        <v>43</v>
      </c>
      <c r="I120" s="36" t="s">
        <v>19</v>
      </c>
      <c r="J120" s="55"/>
      <c r="K120" s="54">
        <v>3.0</v>
      </c>
      <c r="L120" s="54">
        <v>3.0</v>
      </c>
    </row>
    <row r="121" ht="15.75" customHeight="1">
      <c r="A121" s="14">
        <v>25.0</v>
      </c>
      <c r="B121" s="57" t="s">
        <v>253</v>
      </c>
      <c r="C121" s="58" t="s">
        <v>254</v>
      </c>
      <c r="D121" s="17"/>
      <c r="E121" s="17"/>
      <c r="F121" s="17"/>
      <c r="G121" s="17"/>
      <c r="H121" s="17"/>
      <c r="I121" s="17"/>
      <c r="J121" s="51"/>
      <c r="K121" s="52">
        <f t="shared" ref="K121:L121" si="25">SUM(K122)</f>
        <v>3</v>
      </c>
      <c r="L121" s="52">
        <f t="shared" si="25"/>
        <v>3</v>
      </c>
    </row>
    <row r="122" ht="15.75" customHeight="1">
      <c r="A122" s="49"/>
      <c r="B122" s="28"/>
      <c r="C122" s="53"/>
      <c r="D122" s="30" t="s">
        <v>241</v>
      </c>
      <c r="E122" s="28" t="s">
        <v>242</v>
      </c>
      <c r="F122" s="54">
        <v>3.0</v>
      </c>
      <c r="G122" s="54">
        <v>3.0</v>
      </c>
      <c r="H122" s="32" t="s">
        <v>43</v>
      </c>
      <c r="I122" s="36" t="s">
        <v>19</v>
      </c>
      <c r="J122" s="55"/>
      <c r="K122" s="54">
        <v>3.0</v>
      </c>
      <c r="L122" s="54">
        <v>3.0</v>
      </c>
    </row>
    <row r="123" ht="15.75" customHeight="1">
      <c r="A123" s="14">
        <v>26.0</v>
      </c>
      <c r="B123" s="57" t="s">
        <v>255</v>
      </c>
      <c r="C123" s="58" t="s">
        <v>256</v>
      </c>
      <c r="D123" s="17"/>
      <c r="E123" s="17"/>
      <c r="F123" s="17"/>
      <c r="G123" s="17"/>
      <c r="H123" s="17"/>
      <c r="I123" s="17"/>
      <c r="J123" s="51"/>
      <c r="K123" s="52">
        <f t="shared" ref="K123:L123" si="26">SUM(K124)</f>
        <v>3</v>
      </c>
      <c r="L123" s="52">
        <f t="shared" si="26"/>
        <v>3</v>
      </c>
    </row>
    <row r="124" ht="15.75" customHeight="1">
      <c r="A124" s="49"/>
      <c r="B124" s="28"/>
      <c r="C124" s="53"/>
      <c r="D124" s="30" t="s">
        <v>236</v>
      </c>
      <c r="E124" s="28" t="s">
        <v>237</v>
      </c>
      <c r="F124" s="54">
        <v>3.0</v>
      </c>
      <c r="G124" s="54">
        <v>3.0</v>
      </c>
      <c r="H124" s="32" t="s">
        <v>43</v>
      </c>
      <c r="I124" s="36" t="s">
        <v>19</v>
      </c>
      <c r="J124" s="55"/>
      <c r="K124" s="54">
        <v>3.0</v>
      </c>
      <c r="L124" s="54">
        <v>3.0</v>
      </c>
    </row>
    <row r="125" ht="15.75" customHeight="1">
      <c r="A125" s="14">
        <v>27.0</v>
      </c>
      <c r="B125" s="57" t="s">
        <v>258</v>
      </c>
      <c r="C125" s="58" t="s">
        <v>259</v>
      </c>
      <c r="D125" s="17"/>
      <c r="E125" s="17"/>
      <c r="F125" s="17"/>
      <c r="G125" s="17"/>
      <c r="H125" s="17"/>
      <c r="I125" s="17"/>
      <c r="J125" s="51"/>
      <c r="K125" s="52">
        <f t="shared" ref="K125:L125" si="27">SUM(K126)</f>
        <v>3</v>
      </c>
      <c r="L125" s="52">
        <f t="shared" si="27"/>
        <v>3</v>
      </c>
    </row>
    <row r="126" ht="15.75" customHeight="1">
      <c r="A126" s="49"/>
      <c r="B126" s="28"/>
      <c r="C126" s="53"/>
      <c r="D126" s="30" t="s">
        <v>230</v>
      </c>
      <c r="E126" s="28" t="s">
        <v>231</v>
      </c>
      <c r="F126" s="54">
        <v>3.0</v>
      </c>
      <c r="G126" s="54">
        <v>3.0</v>
      </c>
      <c r="H126" s="32" t="s">
        <v>48</v>
      </c>
      <c r="I126" s="36" t="s">
        <v>19</v>
      </c>
      <c r="J126" s="55"/>
      <c r="K126" s="54">
        <v>3.0</v>
      </c>
      <c r="L126" s="54">
        <v>3.0</v>
      </c>
    </row>
    <row r="127" ht="15.75" customHeight="1">
      <c r="A127" s="14">
        <v>28.0</v>
      </c>
      <c r="B127" s="57" t="s">
        <v>262</v>
      </c>
      <c r="C127" s="58" t="s">
        <v>263</v>
      </c>
      <c r="D127" s="17"/>
      <c r="E127" s="17"/>
      <c r="F127" s="17"/>
      <c r="G127" s="17"/>
      <c r="H127" s="17"/>
      <c r="I127" s="17"/>
      <c r="J127" s="51"/>
      <c r="K127" s="52">
        <f t="shared" ref="K127:L127" si="28">SUM(K128)</f>
        <v>3</v>
      </c>
      <c r="L127" s="52">
        <f t="shared" si="28"/>
        <v>3</v>
      </c>
    </row>
    <row r="128" ht="15.75" customHeight="1">
      <c r="A128" s="61"/>
      <c r="B128" s="62"/>
      <c r="C128" s="63"/>
      <c r="D128" s="64" t="s">
        <v>236</v>
      </c>
      <c r="E128" s="62" t="s">
        <v>237</v>
      </c>
      <c r="F128" s="65">
        <v>3.0</v>
      </c>
      <c r="G128" s="65">
        <v>3.0</v>
      </c>
      <c r="H128" s="66" t="s">
        <v>48</v>
      </c>
      <c r="I128" s="67" t="s">
        <v>19</v>
      </c>
      <c r="J128" s="68"/>
      <c r="K128" s="65">
        <v>3.0</v>
      </c>
      <c r="L128" s="65">
        <v>3.0</v>
      </c>
    </row>
    <row r="129" ht="15.75" customHeight="1">
      <c r="A129" s="69"/>
      <c r="B129" s="69"/>
      <c r="C129" s="70"/>
      <c r="D129" s="70"/>
      <c r="E129" s="70"/>
      <c r="F129" s="70"/>
      <c r="G129" s="70"/>
      <c r="H129" s="70"/>
      <c r="I129" s="70"/>
      <c r="J129" s="71"/>
      <c r="K129" s="71"/>
      <c r="L129" s="71"/>
    </row>
    <row r="130" ht="15.75" customHeight="1">
      <c r="A130" s="10"/>
      <c r="B130" s="10"/>
      <c r="C130" s="10"/>
      <c r="D130" s="72"/>
      <c r="E130" s="10"/>
    </row>
    <row r="131" ht="15.75" customHeight="1">
      <c r="A131" s="10"/>
      <c r="B131" s="10"/>
      <c r="D131" s="10"/>
      <c r="E131" s="10"/>
    </row>
    <row r="132" ht="15.75" customHeight="1">
      <c r="A132" s="10"/>
      <c r="B132" s="10"/>
      <c r="C132" s="10"/>
      <c r="D132" s="72"/>
      <c r="E132" s="73"/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9.14"/>
    <col customWidth="1" min="3" max="3" width="43.43"/>
    <col customWidth="1" min="4" max="4" width="9.14"/>
    <col customWidth="1" min="5" max="5" width="45.14"/>
    <col customWidth="1" min="6" max="7" width="9.14"/>
    <col customWidth="1" min="8" max="8" width="14.0"/>
    <col customWidth="1" min="9" max="9" width="9.14"/>
    <col customWidth="1" min="10" max="10" width="19.57"/>
    <col customWidth="1" min="11" max="27" width="9.14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6" t="s">
        <v>8</v>
      </c>
      <c r="K1" s="2" t="s">
        <v>9</v>
      </c>
      <c r="L1" s="2" t="s">
        <v>10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ht="15.75" customHeight="1">
      <c r="A2" s="12">
        <v>1.0</v>
      </c>
      <c r="B2" s="12" t="s">
        <v>11</v>
      </c>
      <c r="C2" s="15" t="s">
        <v>14</v>
      </c>
      <c r="D2" s="16"/>
      <c r="E2" s="16"/>
      <c r="F2" s="16"/>
      <c r="G2" s="16"/>
      <c r="H2" s="16"/>
      <c r="I2" s="16"/>
      <c r="J2" s="20" t="s">
        <v>21</v>
      </c>
      <c r="K2" s="24">
        <f t="shared" ref="K2:L2" si="1">SUM(K3:K9)</f>
        <v>14</v>
      </c>
      <c r="L2" s="24">
        <f t="shared" si="1"/>
        <v>22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15.75" customHeight="1">
      <c r="A3" s="21"/>
      <c r="B3" s="21"/>
      <c r="C3" s="21"/>
      <c r="D3" s="29">
        <v>1111082.0</v>
      </c>
      <c r="E3" s="31" t="s">
        <v>27</v>
      </c>
      <c r="F3" s="29">
        <v>2.0</v>
      </c>
      <c r="G3" s="25">
        <v>4.0</v>
      </c>
      <c r="H3" s="25" t="s">
        <v>30</v>
      </c>
      <c r="I3" s="25" t="s">
        <v>21</v>
      </c>
      <c r="J3" s="25"/>
      <c r="K3" s="25">
        <v>2.0</v>
      </c>
      <c r="L3" s="25">
        <v>4.0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15.75" customHeight="1">
      <c r="A4" s="21"/>
      <c r="B4" s="21"/>
      <c r="C4" s="21"/>
      <c r="D4" s="25">
        <v>1151402.0</v>
      </c>
      <c r="E4" s="21" t="s">
        <v>37</v>
      </c>
      <c r="F4" s="25">
        <v>2.0</v>
      </c>
      <c r="G4" s="25">
        <v>4.0</v>
      </c>
      <c r="H4" s="25" t="s">
        <v>39</v>
      </c>
      <c r="I4" s="25" t="s">
        <v>21</v>
      </c>
      <c r="J4" s="25"/>
      <c r="K4" s="25">
        <v>2.0</v>
      </c>
      <c r="L4" s="25">
        <v>4.0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15.75" customHeight="1">
      <c r="A5" s="21"/>
      <c r="B5" s="21"/>
      <c r="C5" s="21"/>
      <c r="D5" s="23"/>
      <c r="E5" s="23"/>
      <c r="F5" s="25">
        <v>2.0</v>
      </c>
      <c r="G5" s="25">
        <v>4.0</v>
      </c>
      <c r="H5" s="25" t="s">
        <v>46</v>
      </c>
      <c r="I5" s="25" t="s">
        <v>21</v>
      </c>
      <c r="J5" s="25"/>
      <c r="K5" s="25">
        <v>2.0</v>
      </c>
      <c r="L5" s="25">
        <v>4.0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15.75" customHeight="1">
      <c r="A6" s="21"/>
      <c r="B6" s="21"/>
      <c r="C6" s="21"/>
      <c r="D6" s="21"/>
      <c r="E6" s="21"/>
      <c r="F6" s="25">
        <v>2.0</v>
      </c>
      <c r="G6" s="25">
        <v>4.0</v>
      </c>
      <c r="H6" s="25" t="s">
        <v>53</v>
      </c>
      <c r="I6" s="25" t="s">
        <v>21</v>
      </c>
      <c r="J6" s="25"/>
      <c r="K6" s="25">
        <v>2.0</v>
      </c>
      <c r="L6" s="25">
        <v>4.0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15.75" customHeight="1">
      <c r="A7" s="21"/>
      <c r="B7" s="21"/>
      <c r="C7" s="21"/>
      <c r="D7" s="25">
        <v>1150452.0</v>
      </c>
      <c r="E7" s="21" t="s">
        <v>57</v>
      </c>
      <c r="F7" s="25">
        <v>2.0</v>
      </c>
      <c r="G7" s="25">
        <v>2.0</v>
      </c>
      <c r="H7" s="25" t="s">
        <v>39</v>
      </c>
      <c r="I7" s="25" t="s">
        <v>21</v>
      </c>
      <c r="J7" s="25"/>
      <c r="K7" s="25">
        <v>2.0</v>
      </c>
      <c r="L7" s="25">
        <v>2.0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15.75" customHeight="1">
      <c r="A8" s="21"/>
      <c r="B8" s="21"/>
      <c r="C8" s="21"/>
      <c r="D8" s="21"/>
      <c r="E8" s="21"/>
      <c r="F8" s="25">
        <v>2.0</v>
      </c>
      <c r="G8" s="25">
        <v>2.0</v>
      </c>
      <c r="H8" s="25" t="s">
        <v>46</v>
      </c>
      <c r="I8" s="25" t="s">
        <v>21</v>
      </c>
      <c r="J8" s="25"/>
      <c r="K8" s="25">
        <v>2.0</v>
      </c>
      <c r="L8" s="25">
        <v>2.0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15.75" customHeight="1">
      <c r="A9" s="21"/>
      <c r="B9" s="21"/>
      <c r="C9" s="21"/>
      <c r="D9" s="21"/>
      <c r="E9" s="21"/>
      <c r="F9" s="25">
        <v>2.0</v>
      </c>
      <c r="G9" s="25">
        <v>2.0</v>
      </c>
      <c r="H9" s="25" t="s">
        <v>53</v>
      </c>
      <c r="I9" s="25" t="s">
        <v>21</v>
      </c>
      <c r="J9" s="25"/>
      <c r="K9" s="25">
        <v>2.0</v>
      </c>
      <c r="L9" s="25">
        <v>2.0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15.75" customHeight="1">
      <c r="A10" s="12">
        <v>2.0</v>
      </c>
      <c r="B10" s="12" t="s">
        <v>72</v>
      </c>
      <c r="C10" s="16" t="s">
        <v>73</v>
      </c>
      <c r="D10" s="16"/>
      <c r="E10" s="16"/>
      <c r="F10" s="16"/>
      <c r="G10" s="16"/>
      <c r="H10" s="16"/>
      <c r="I10" s="16"/>
      <c r="J10" s="20" t="s">
        <v>21</v>
      </c>
      <c r="K10" s="24">
        <f t="shared" ref="K10:L10" si="2">SUM(K11:K16)</f>
        <v>12</v>
      </c>
      <c r="L10" s="24">
        <f t="shared" si="2"/>
        <v>12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15.75" customHeight="1">
      <c r="A11" s="21"/>
      <c r="B11" s="21"/>
      <c r="C11" s="21"/>
      <c r="D11" s="25">
        <v>1130172.0</v>
      </c>
      <c r="E11" s="21" t="s">
        <v>84</v>
      </c>
      <c r="F11" s="25">
        <v>2.0</v>
      </c>
      <c r="G11" s="25">
        <v>2.0</v>
      </c>
      <c r="H11" s="25" t="s">
        <v>88</v>
      </c>
      <c r="I11" s="25" t="s">
        <v>21</v>
      </c>
      <c r="J11" s="25"/>
      <c r="K11" s="25">
        <v>2.0</v>
      </c>
      <c r="L11" s="25">
        <v>2.0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15.75" customHeight="1">
      <c r="A12" s="21"/>
      <c r="B12" s="21"/>
      <c r="C12" s="21"/>
      <c r="D12" s="21"/>
      <c r="E12" s="21"/>
      <c r="F12" s="25">
        <v>2.0</v>
      </c>
      <c r="G12" s="25">
        <v>2.0</v>
      </c>
      <c r="H12" s="25" t="s">
        <v>95</v>
      </c>
      <c r="I12" s="25" t="s">
        <v>21</v>
      </c>
      <c r="J12" s="25"/>
      <c r="K12" s="25">
        <v>2.0</v>
      </c>
      <c r="L12" s="25">
        <v>2.0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15.75" customHeight="1">
      <c r="A13" s="21"/>
      <c r="B13" s="21"/>
      <c r="C13" s="21"/>
      <c r="D13" s="21"/>
      <c r="E13" s="23"/>
      <c r="F13" s="25">
        <v>2.0</v>
      </c>
      <c r="G13" s="25">
        <v>2.0</v>
      </c>
      <c r="H13" s="25" t="s">
        <v>101</v>
      </c>
      <c r="I13" s="25" t="s">
        <v>21</v>
      </c>
      <c r="J13" s="25"/>
      <c r="K13" s="25">
        <v>2.0</v>
      </c>
      <c r="L13" s="25">
        <v>2.0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15.75" customHeight="1">
      <c r="A14" s="21"/>
      <c r="B14" s="21"/>
      <c r="C14" s="21"/>
      <c r="D14" s="25">
        <v>1130182.0</v>
      </c>
      <c r="E14" s="21" t="s">
        <v>105</v>
      </c>
      <c r="F14" s="25">
        <v>2.0</v>
      </c>
      <c r="G14" s="25">
        <v>2.0</v>
      </c>
      <c r="H14" s="25" t="s">
        <v>88</v>
      </c>
      <c r="I14" s="25" t="s">
        <v>21</v>
      </c>
      <c r="J14" s="25"/>
      <c r="K14" s="25">
        <v>2.0</v>
      </c>
      <c r="L14" s="25">
        <v>2.0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ht="15.75" customHeight="1">
      <c r="A15" s="21"/>
      <c r="B15" s="21"/>
      <c r="C15" s="21"/>
      <c r="D15" s="21"/>
      <c r="E15" s="21"/>
      <c r="F15" s="25">
        <v>2.0</v>
      </c>
      <c r="G15" s="25">
        <v>2.0</v>
      </c>
      <c r="H15" s="25" t="s">
        <v>95</v>
      </c>
      <c r="I15" s="25" t="s">
        <v>21</v>
      </c>
      <c r="J15" s="25"/>
      <c r="K15" s="25">
        <v>2.0</v>
      </c>
      <c r="L15" s="25">
        <v>2.0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ht="15.75" customHeight="1">
      <c r="A16" s="21"/>
      <c r="B16" s="21"/>
      <c r="C16" s="21"/>
      <c r="D16" s="21"/>
      <c r="E16" s="21"/>
      <c r="F16" s="25">
        <v>2.0</v>
      </c>
      <c r="G16" s="25">
        <v>2.0</v>
      </c>
      <c r="H16" s="25" t="s">
        <v>101</v>
      </c>
      <c r="I16" s="25" t="s">
        <v>21</v>
      </c>
      <c r="J16" s="25"/>
      <c r="K16" s="25">
        <v>2.0</v>
      </c>
      <c r="L16" s="25">
        <v>2.0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ht="15.75" customHeight="1">
      <c r="A17" s="12">
        <v>3.0</v>
      </c>
      <c r="B17" s="12" t="s">
        <v>118</v>
      </c>
      <c r="C17" s="16" t="s">
        <v>119</v>
      </c>
      <c r="D17" s="16"/>
      <c r="E17" s="16"/>
      <c r="F17" s="16"/>
      <c r="G17" s="16"/>
      <c r="H17" s="16"/>
      <c r="I17" s="16"/>
      <c r="J17" s="20" t="s">
        <v>21</v>
      </c>
      <c r="K17" s="24">
        <f t="shared" ref="K17:L17" si="3">SUM(K18:K23)</f>
        <v>12</v>
      </c>
      <c r="L17" s="24">
        <f t="shared" si="3"/>
        <v>24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ht="15.75" customHeight="1">
      <c r="A18" s="21"/>
      <c r="B18" s="21"/>
      <c r="C18" s="21"/>
      <c r="D18" s="25">
        <v>1111073.0</v>
      </c>
      <c r="E18" s="21" t="s">
        <v>125</v>
      </c>
      <c r="F18" s="25">
        <v>2.0</v>
      </c>
      <c r="G18" s="25">
        <v>4.0</v>
      </c>
      <c r="H18" s="25" t="s">
        <v>127</v>
      </c>
      <c r="I18" s="25" t="s">
        <v>21</v>
      </c>
      <c r="J18" s="25"/>
      <c r="K18" s="25">
        <v>2.0</v>
      </c>
      <c r="L18" s="25">
        <v>4.0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ht="15.75" customHeight="1">
      <c r="A19" s="21"/>
      <c r="B19" s="21"/>
      <c r="C19" s="21"/>
      <c r="D19" s="21"/>
      <c r="E19" s="23"/>
      <c r="F19" s="25">
        <v>2.0</v>
      </c>
      <c r="G19" s="25">
        <v>4.0</v>
      </c>
      <c r="H19" s="25" t="s">
        <v>130</v>
      </c>
      <c r="I19" s="25" t="s">
        <v>21</v>
      </c>
      <c r="J19" s="25"/>
      <c r="K19" s="25">
        <v>2.0</v>
      </c>
      <c r="L19" s="25">
        <v>4.0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ht="15.75" customHeight="1">
      <c r="A20" s="21"/>
      <c r="B20" s="21"/>
      <c r="C20" s="31"/>
      <c r="D20" s="21"/>
      <c r="E20" s="21"/>
      <c r="F20" s="25">
        <v>2.0</v>
      </c>
      <c r="G20" s="25">
        <v>4.0</v>
      </c>
      <c r="H20" s="25" t="s">
        <v>30</v>
      </c>
      <c r="I20" s="25" t="s">
        <v>21</v>
      </c>
      <c r="J20" s="25"/>
      <c r="K20" s="25">
        <v>2.0</v>
      </c>
      <c r="L20" s="25">
        <v>4.0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15.75" customHeight="1">
      <c r="A21" s="21"/>
      <c r="B21" s="21"/>
      <c r="C21" s="21"/>
      <c r="D21" s="25">
        <v>1131193.0</v>
      </c>
      <c r="E21" s="21" t="s">
        <v>139</v>
      </c>
      <c r="F21" s="25">
        <v>2.0</v>
      </c>
      <c r="G21" s="25">
        <v>4.0</v>
      </c>
      <c r="H21" s="25" t="s">
        <v>88</v>
      </c>
      <c r="I21" s="25" t="s">
        <v>21</v>
      </c>
      <c r="J21" s="25"/>
      <c r="K21" s="25">
        <v>2.0</v>
      </c>
      <c r="L21" s="25">
        <v>4.0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15.75" customHeight="1">
      <c r="A22" s="21"/>
      <c r="B22" s="21"/>
      <c r="C22" s="21"/>
      <c r="D22" s="21"/>
      <c r="E22" s="21"/>
      <c r="F22" s="25">
        <v>2.0</v>
      </c>
      <c r="G22" s="25">
        <v>4.0</v>
      </c>
      <c r="H22" s="25" t="s">
        <v>95</v>
      </c>
      <c r="I22" s="25" t="s">
        <v>21</v>
      </c>
      <c r="J22" s="25"/>
      <c r="K22" s="25">
        <v>2.0</v>
      </c>
      <c r="L22" s="25">
        <v>4.0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5.75" customHeight="1">
      <c r="A23" s="21"/>
      <c r="B23" s="21"/>
      <c r="C23" s="21"/>
      <c r="D23" s="21"/>
      <c r="E23" s="21"/>
      <c r="F23" s="25">
        <v>2.0</v>
      </c>
      <c r="G23" s="25">
        <v>4.0</v>
      </c>
      <c r="H23" s="25" t="s">
        <v>101</v>
      </c>
      <c r="I23" s="25" t="s">
        <v>21</v>
      </c>
      <c r="J23" s="25"/>
      <c r="K23" s="25">
        <v>2.0</v>
      </c>
      <c r="L23" s="25">
        <v>4.0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15.75" customHeight="1">
      <c r="A24" s="12">
        <v>4.0</v>
      </c>
      <c r="B24" s="12" t="s">
        <v>152</v>
      </c>
      <c r="C24" s="16" t="s">
        <v>153</v>
      </c>
      <c r="D24" s="16"/>
      <c r="E24" s="16"/>
      <c r="F24" s="16"/>
      <c r="G24" s="16"/>
      <c r="H24" s="16"/>
      <c r="I24" s="16"/>
      <c r="J24" s="20" t="s">
        <v>21</v>
      </c>
      <c r="K24" s="24">
        <f t="shared" ref="K24:L24" si="4">SUM(K25:K30)</f>
        <v>12</v>
      </c>
      <c r="L24" s="24">
        <f t="shared" si="4"/>
        <v>18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15.75" customHeight="1">
      <c r="A25" s="21"/>
      <c r="B25" s="21"/>
      <c r="C25" s="21"/>
      <c r="D25" s="25">
        <v>1111063.0</v>
      </c>
      <c r="E25" s="21" t="s">
        <v>159</v>
      </c>
      <c r="F25" s="25">
        <v>2.0</v>
      </c>
      <c r="G25" s="25">
        <v>4.0</v>
      </c>
      <c r="H25" s="25" t="s">
        <v>127</v>
      </c>
      <c r="I25" s="25" t="s">
        <v>21</v>
      </c>
      <c r="J25" s="25"/>
      <c r="K25" s="25">
        <v>2.0</v>
      </c>
      <c r="L25" s="25">
        <v>4.0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15.75" customHeight="1">
      <c r="A26" s="21"/>
      <c r="B26" s="21"/>
      <c r="C26" s="9"/>
      <c r="D26" s="21"/>
      <c r="E26" s="21"/>
      <c r="F26" s="25">
        <v>2.0</v>
      </c>
      <c r="G26" s="25">
        <v>4.0</v>
      </c>
      <c r="H26" s="25" t="s">
        <v>130</v>
      </c>
      <c r="I26" s="25" t="s">
        <v>21</v>
      </c>
      <c r="J26" s="25"/>
      <c r="K26" s="25">
        <v>2.0</v>
      </c>
      <c r="L26" s="25">
        <v>4.0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15.75" customHeight="1">
      <c r="A27" s="21"/>
      <c r="B27" s="21"/>
      <c r="C27" s="21"/>
      <c r="D27" s="21"/>
      <c r="E27" s="21"/>
      <c r="F27" s="25">
        <v>2.0</v>
      </c>
      <c r="G27" s="25">
        <v>4.0</v>
      </c>
      <c r="H27" s="25" t="s">
        <v>30</v>
      </c>
      <c r="I27" s="25" t="s">
        <v>21</v>
      </c>
      <c r="J27" s="25"/>
      <c r="K27" s="25">
        <v>2.0</v>
      </c>
      <c r="L27" s="25">
        <v>4.0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ht="15.75" customHeight="1">
      <c r="A28" s="21"/>
      <c r="B28" s="21"/>
      <c r="C28" s="21"/>
      <c r="D28" s="25">
        <v>1130152.0</v>
      </c>
      <c r="E28" s="21" t="s">
        <v>169</v>
      </c>
      <c r="F28" s="25">
        <v>2.0</v>
      </c>
      <c r="G28" s="25">
        <v>2.0</v>
      </c>
      <c r="H28" s="25" t="s">
        <v>88</v>
      </c>
      <c r="I28" s="25" t="s">
        <v>21</v>
      </c>
      <c r="J28" s="25"/>
      <c r="K28" s="25">
        <v>2.0</v>
      </c>
      <c r="L28" s="25">
        <v>2.0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ht="15.75" customHeight="1">
      <c r="A29" s="21"/>
      <c r="B29" s="21"/>
      <c r="C29" s="21"/>
      <c r="D29" s="21"/>
      <c r="E29" s="21"/>
      <c r="F29" s="25">
        <v>2.0</v>
      </c>
      <c r="G29" s="25">
        <v>2.0</v>
      </c>
      <c r="H29" s="25" t="s">
        <v>95</v>
      </c>
      <c r="I29" s="25" t="s">
        <v>21</v>
      </c>
      <c r="J29" s="25"/>
      <c r="K29" s="25">
        <v>2.0</v>
      </c>
      <c r="L29" s="25">
        <v>2.0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ht="15.75" customHeight="1">
      <c r="A30" s="21"/>
      <c r="B30" s="21"/>
      <c r="C30" s="21"/>
      <c r="D30" s="21"/>
      <c r="E30" s="23"/>
      <c r="F30" s="25">
        <v>2.0</v>
      </c>
      <c r="G30" s="25">
        <v>2.0</v>
      </c>
      <c r="H30" s="25" t="s">
        <v>101</v>
      </c>
      <c r="I30" s="25" t="s">
        <v>21</v>
      </c>
      <c r="J30" s="25"/>
      <c r="K30" s="25">
        <v>2.0</v>
      </c>
      <c r="L30" s="25">
        <v>2.0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ht="15.75" customHeight="1">
      <c r="A31" s="12">
        <v>5.0</v>
      </c>
      <c r="B31" s="12" t="s">
        <v>175</v>
      </c>
      <c r="C31" s="16" t="s">
        <v>176</v>
      </c>
      <c r="D31" s="16"/>
      <c r="E31" s="16"/>
      <c r="F31" s="16"/>
      <c r="G31" s="16"/>
      <c r="H31" s="16"/>
      <c r="I31" s="16"/>
      <c r="J31" s="24"/>
      <c r="K31" s="24">
        <f t="shared" ref="K31:L31" si="5">SUM(K32:K34)</f>
        <v>6</v>
      </c>
      <c r="L31" s="24">
        <f t="shared" si="5"/>
        <v>6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ht="15.75" customHeight="1">
      <c r="A32" s="21"/>
      <c r="B32" s="21"/>
      <c r="C32" s="21"/>
      <c r="D32" s="25">
        <v>1110042.0</v>
      </c>
      <c r="E32" s="21" t="s">
        <v>182</v>
      </c>
      <c r="F32" s="25">
        <v>2.0</v>
      </c>
      <c r="G32" s="25">
        <v>2.0</v>
      </c>
      <c r="H32" s="25" t="s">
        <v>127</v>
      </c>
      <c r="I32" s="25" t="s">
        <v>21</v>
      </c>
      <c r="J32" s="25"/>
      <c r="K32" s="25">
        <v>2.0</v>
      </c>
      <c r="L32" s="25">
        <v>2.0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ht="15.75" customHeight="1">
      <c r="A33" s="21"/>
      <c r="B33" s="21"/>
      <c r="C33" s="9"/>
      <c r="D33" s="21"/>
      <c r="E33" s="21"/>
      <c r="F33" s="25">
        <v>2.0</v>
      </c>
      <c r="G33" s="25">
        <v>2.0</v>
      </c>
      <c r="H33" s="25" t="s">
        <v>130</v>
      </c>
      <c r="I33" s="25" t="s">
        <v>21</v>
      </c>
      <c r="J33" s="25"/>
      <c r="K33" s="25">
        <v>2.0</v>
      </c>
      <c r="L33" s="25">
        <v>2.0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ht="15.75" customHeight="1">
      <c r="A34" s="21"/>
      <c r="B34" s="21"/>
      <c r="C34" s="21"/>
      <c r="D34" s="21"/>
      <c r="E34" s="21"/>
      <c r="F34" s="25">
        <v>2.0</v>
      </c>
      <c r="G34" s="25">
        <v>2.0</v>
      </c>
      <c r="H34" s="25" t="s">
        <v>30</v>
      </c>
      <c r="I34" s="25" t="s">
        <v>21</v>
      </c>
      <c r="J34" s="25"/>
      <c r="K34" s="25">
        <v>2.0</v>
      </c>
      <c r="L34" s="25">
        <v>2.0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ht="15.75" customHeight="1">
      <c r="A35" s="12">
        <v>6.0</v>
      </c>
      <c r="B35" s="12" t="s">
        <v>189</v>
      </c>
      <c r="C35" s="16" t="s">
        <v>190</v>
      </c>
      <c r="D35" s="16"/>
      <c r="E35" s="16"/>
      <c r="F35" s="16"/>
      <c r="G35" s="16"/>
      <c r="H35" s="16"/>
      <c r="I35" s="16"/>
      <c r="J35" s="20" t="s">
        <v>21</v>
      </c>
      <c r="K35" s="24">
        <f t="shared" ref="K35:L35" si="6">SUM(K36:K41)</f>
        <v>12</v>
      </c>
      <c r="L35" s="24">
        <f t="shared" si="6"/>
        <v>18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ht="15.75" customHeight="1">
      <c r="A36" s="21"/>
      <c r="B36" s="21"/>
      <c r="C36" s="21"/>
      <c r="D36" s="25">
        <v>1110022.0</v>
      </c>
      <c r="E36" s="21" t="s">
        <v>195</v>
      </c>
      <c r="F36" s="25">
        <v>2.0</v>
      </c>
      <c r="G36" s="25">
        <v>2.0</v>
      </c>
      <c r="H36" s="25" t="s">
        <v>127</v>
      </c>
      <c r="I36" s="25" t="s">
        <v>21</v>
      </c>
      <c r="J36" s="25"/>
      <c r="K36" s="25">
        <v>2.0</v>
      </c>
      <c r="L36" s="25">
        <v>2.0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ht="15.75" customHeight="1">
      <c r="A37" s="21"/>
      <c r="B37" s="21"/>
      <c r="C37" s="9"/>
      <c r="D37" s="21"/>
      <c r="E37" s="21"/>
      <c r="F37" s="25">
        <v>2.0</v>
      </c>
      <c r="G37" s="25">
        <v>2.0</v>
      </c>
      <c r="H37" s="25" t="s">
        <v>130</v>
      </c>
      <c r="I37" s="25" t="s">
        <v>21</v>
      </c>
      <c r="J37" s="25"/>
      <c r="K37" s="25">
        <v>2.0</v>
      </c>
      <c r="L37" s="25">
        <v>2.0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ht="15.75" customHeight="1">
      <c r="A38" s="21"/>
      <c r="B38" s="21"/>
      <c r="C38" s="21"/>
      <c r="D38" s="21"/>
      <c r="E38" s="21"/>
      <c r="F38" s="25">
        <v>2.0</v>
      </c>
      <c r="G38" s="25">
        <v>2.0</v>
      </c>
      <c r="H38" s="25" t="s">
        <v>30</v>
      </c>
      <c r="I38" s="25" t="s">
        <v>21</v>
      </c>
      <c r="J38" s="25"/>
      <c r="K38" s="25">
        <v>2.0</v>
      </c>
      <c r="L38" s="25">
        <v>2.0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ht="15.75" customHeight="1">
      <c r="A39" s="21"/>
      <c r="B39" s="21"/>
      <c r="C39" s="21"/>
      <c r="D39" s="25">
        <v>1131203.0</v>
      </c>
      <c r="E39" s="21" t="s">
        <v>201</v>
      </c>
      <c r="F39" s="25">
        <v>2.0</v>
      </c>
      <c r="G39" s="25">
        <v>4.0</v>
      </c>
      <c r="H39" s="25" t="s">
        <v>88</v>
      </c>
      <c r="I39" s="25" t="s">
        <v>21</v>
      </c>
      <c r="J39" s="25"/>
      <c r="K39" s="25">
        <v>2.0</v>
      </c>
      <c r="L39" s="25">
        <v>4.0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ht="15.75" customHeight="1">
      <c r="A40" s="21"/>
      <c r="B40" s="21"/>
      <c r="C40" s="21"/>
      <c r="D40" s="21"/>
      <c r="E40" s="21"/>
      <c r="F40" s="25">
        <v>2.0</v>
      </c>
      <c r="G40" s="25">
        <v>4.0</v>
      </c>
      <c r="H40" s="25" t="s">
        <v>95</v>
      </c>
      <c r="I40" s="25" t="s">
        <v>21</v>
      </c>
      <c r="J40" s="25"/>
      <c r="K40" s="25">
        <v>2.0</v>
      </c>
      <c r="L40" s="25">
        <v>4.0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ht="15.75" customHeight="1">
      <c r="A41" s="21"/>
      <c r="B41" s="21"/>
      <c r="C41" s="21"/>
      <c r="D41" s="21"/>
      <c r="E41" s="21"/>
      <c r="F41" s="25">
        <v>2.0</v>
      </c>
      <c r="G41" s="25">
        <v>4.0</v>
      </c>
      <c r="H41" s="25" t="s">
        <v>101</v>
      </c>
      <c r="I41" s="25" t="s">
        <v>21</v>
      </c>
      <c r="J41" s="25"/>
      <c r="K41" s="25">
        <v>2.0</v>
      </c>
      <c r="L41" s="25">
        <v>4.0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15.75" customHeight="1">
      <c r="A42" s="12">
        <v>7.0</v>
      </c>
      <c r="B42" s="12" t="s">
        <v>212</v>
      </c>
      <c r="C42" s="16" t="s">
        <v>213</v>
      </c>
      <c r="D42" s="16"/>
      <c r="E42" s="16"/>
      <c r="F42" s="16"/>
      <c r="G42" s="16"/>
      <c r="H42" s="16"/>
      <c r="I42" s="16"/>
      <c r="J42" s="20" t="s">
        <v>21</v>
      </c>
      <c r="K42" s="24">
        <f t="shared" ref="K42:L42" si="7">SUM(K43:K50)</f>
        <v>16</v>
      </c>
      <c r="L42" s="24">
        <f t="shared" si="7"/>
        <v>26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ht="15.75" customHeight="1">
      <c r="A43" s="21"/>
      <c r="B43" s="21"/>
      <c r="C43" s="21"/>
      <c r="D43" s="29">
        <v>1111082.0</v>
      </c>
      <c r="E43" s="31" t="s">
        <v>27</v>
      </c>
      <c r="F43" s="29">
        <v>2.0</v>
      </c>
      <c r="G43" s="25">
        <v>4.0</v>
      </c>
      <c r="H43" s="25" t="s">
        <v>127</v>
      </c>
      <c r="I43" s="25" t="s">
        <v>21</v>
      </c>
      <c r="J43" s="25"/>
      <c r="K43" s="25">
        <v>2.0</v>
      </c>
      <c r="L43" s="25">
        <v>4.0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ht="15.75" customHeight="1">
      <c r="A44" s="21"/>
      <c r="B44" s="21"/>
      <c r="C44" s="9"/>
      <c r="D44" s="21"/>
      <c r="E44" s="21"/>
      <c r="F44" s="29">
        <v>2.0</v>
      </c>
      <c r="G44" s="25">
        <v>4.0</v>
      </c>
      <c r="H44" s="25" t="s">
        <v>130</v>
      </c>
      <c r="I44" s="25" t="s">
        <v>21</v>
      </c>
      <c r="J44" s="25"/>
      <c r="K44" s="25">
        <v>2.0</v>
      </c>
      <c r="L44" s="25">
        <v>4.0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ht="15.75" customHeight="1">
      <c r="A45" s="21"/>
      <c r="B45" s="21"/>
      <c r="C45" s="21"/>
      <c r="D45" s="25">
        <v>1150412.0</v>
      </c>
      <c r="E45" s="21" t="s">
        <v>225</v>
      </c>
      <c r="F45" s="25">
        <v>2.0</v>
      </c>
      <c r="G45" s="25">
        <v>2.0</v>
      </c>
      <c r="H45" s="25" t="s">
        <v>39</v>
      </c>
      <c r="I45" s="25" t="s">
        <v>21</v>
      </c>
      <c r="J45" s="25"/>
      <c r="K45" s="25">
        <v>2.0</v>
      </c>
      <c r="L45" s="25">
        <v>2.0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ht="15.75" customHeight="1">
      <c r="A46" s="21"/>
      <c r="B46" s="21"/>
      <c r="C46" s="21"/>
      <c r="D46" s="21"/>
      <c r="E46" s="23"/>
      <c r="F46" s="25">
        <v>2.0</v>
      </c>
      <c r="G46" s="25">
        <v>2.0</v>
      </c>
      <c r="H46" s="25" t="s">
        <v>46</v>
      </c>
      <c r="I46" s="25" t="s">
        <v>21</v>
      </c>
      <c r="J46" s="25"/>
      <c r="K46" s="25">
        <v>2.0</v>
      </c>
      <c r="L46" s="25">
        <v>2.0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ht="15.75" customHeight="1">
      <c r="A47" s="21"/>
      <c r="B47" s="21"/>
      <c r="C47" s="21"/>
      <c r="D47" s="31"/>
      <c r="E47" s="23"/>
      <c r="F47" s="25">
        <v>2.0</v>
      </c>
      <c r="G47" s="25">
        <v>2.0</v>
      </c>
      <c r="H47" s="25" t="s">
        <v>53</v>
      </c>
      <c r="I47" s="25" t="s">
        <v>21</v>
      </c>
      <c r="J47" s="25"/>
      <c r="K47" s="25">
        <v>2.0</v>
      </c>
      <c r="L47" s="25">
        <v>2.0</v>
      </c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ht="15.75" customHeight="1">
      <c r="A48" s="21"/>
      <c r="B48" s="21"/>
      <c r="C48" s="21"/>
      <c r="D48" s="25">
        <v>1151432.0</v>
      </c>
      <c r="E48" s="21" t="s">
        <v>238</v>
      </c>
      <c r="F48" s="25">
        <v>2.0</v>
      </c>
      <c r="G48" s="25">
        <v>4.0</v>
      </c>
      <c r="H48" s="25" t="s">
        <v>39</v>
      </c>
      <c r="I48" s="25" t="s">
        <v>21</v>
      </c>
      <c r="J48" s="25"/>
      <c r="K48" s="25">
        <v>2.0</v>
      </c>
      <c r="L48" s="25">
        <v>4.0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ht="15.75" customHeight="1">
      <c r="A49" s="21"/>
      <c r="B49" s="21"/>
      <c r="C49" s="21"/>
      <c r="D49" s="21"/>
      <c r="E49" s="21"/>
      <c r="F49" s="25">
        <v>2.0</v>
      </c>
      <c r="G49" s="25">
        <v>4.0</v>
      </c>
      <c r="H49" s="25" t="s">
        <v>46</v>
      </c>
      <c r="I49" s="25" t="s">
        <v>21</v>
      </c>
      <c r="J49" s="25"/>
      <c r="K49" s="25">
        <v>2.0</v>
      </c>
      <c r="L49" s="25">
        <v>4.0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ht="15.75" customHeight="1">
      <c r="A50" s="21"/>
      <c r="B50" s="21"/>
      <c r="C50" s="21"/>
      <c r="D50" s="21"/>
      <c r="E50" s="21"/>
      <c r="F50" s="25">
        <v>2.0</v>
      </c>
      <c r="G50" s="25">
        <v>4.0</v>
      </c>
      <c r="H50" s="25" t="s">
        <v>53</v>
      </c>
      <c r="I50" s="25" t="s">
        <v>21</v>
      </c>
      <c r="J50" s="25"/>
      <c r="K50" s="25">
        <v>2.0</v>
      </c>
      <c r="L50" s="25">
        <v>4.0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ht="15.75" customHeight="1">
      <c r="A51" s="12">
        <v>8.0</v>
      </c>
      <c r="B51" s="12" t="s">
        <v>251</v>
      </c>
      <c r="C51" s="15" t="s">
        <v>252</v>
      </c>
      <c r="D51" s="16"/>
      <c r="E51" s="16"/>
      <c r="F51" s="16"/>
      <c r="G51" s="16"/>
      <c r="H51" s="16"/>
      <c r="I51" s="16"/>
      <c r="J51" s="24"/>
      <c r="K51" s="24">
        <f t="shared" ref="K51:L51" si="8">SUM(K52:K54)</f>
        <v>6</v>
      </c>
      <c r="L51" s="24">
        <f t="shared" si="8"/>
        <v>12</v>
      </c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ht="15.75" customHeight="1">
      <c r="A52" s="21"/>
      <c r="B52" s="21"/>
      <c r="C52" s="21"/>
      <c r="D52" s="25">
        <v>1131223.0</v>
      </c>
      <c r="E52" s="21" t="s">
        <v>257</v>
      </c>
      <c r="F52" s="25">
        <v>2.0</v>
      </c>
      <c r="G52" s="25">
        <v>4.0</v>
      </c>
      <c r="H52" s="25" t="s">
        <v>88</v>
      </c>
      <c r="I52" s="25" t="s">
        <v>21</v>
      </c>
      <c r="J52" s="25"/>
      <c r="K52" s="25">
        <v>2.0</v>
      </c>
      <c r="L52" s="25">
        <v>4.0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ht="15.75" customHeight="1">
      <c r="A53" s="21"/>
      <c r="B53" s="21"/>
      <c r="C53" s="21"/>
      <c r="D53" s="21"/>
      <c r="E53" s="21"/>
      <c r="F53" s="25">
        <v>2.0</v>
      </c>
      <c r="G53" s="25">
        <v>4.0</v>
      </c>
      <c r="H53" s="25" t="s">
        <v>95</v>
      </c>
      <c r="I53" s="25" t="s">
        <v>21</v>
      </c>
      <c r="J53" s="25"/>
      <c r="K53" s="25">
        <v>2.0</v>
      </c>
      <c r="L53" s="25">
        <v>4.0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15.75" customHeight="1">
      <c r="A54" s="21"/>
      <c r="B54" s="21"/>
      <c r="C54" s="21"/>
      <c r="D54" s="21"/>
      <c r="E54" s="21"/>
      <c r="F54" s="25">
        <v>2.0</v>
      </c>
      <c r="G54" s="25">
        <v>4.0</v>
      </c>
      <c r="H54" s="25" t="s">
        <v>101</v>
      </c>
      <c r="I54" s="25" t="s">
        <v>21</v>
      </c>
      <c r="J54" s="25"/>
      <c r="K54" s="25">
        <v>2.0</v>
      </c>
      <c r="L54" s="25">
        <v>4.0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t="15.75" customHeight="1">
      <c r="A55" s="12">
        <v>9.0</v>
      </c>
      <c r="B55" s="12" t="s">
        <v>264</v>
      </c>
      <c r="C55" s="15" t="s">
        <v>265</v>
      </c>
      <c r="D55" s="16"/>
      <c r="E55" s="16"/>
      <c r="F55" s="16"/>
      <c r="G55" s="16"/>
      <c r="H55" s="16"/>
      <c r="I55" s="16"/>
      <c r="J55" s="24"/>
      <c r="K55" s="24">
        <f t="shared" ref="K55:L55" si="9">SUM(K56:K58)</f>
        <v>6</v>
      </c>
      <c r="L55" s="24">
        <f t="shared" si="9"/>
        <v>12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ht="15.75" customHeight="1">
      <c r="A56" s="21"/>
      <c r="B56" s="21"/>
      <c r="C56" s="21"/>
      <c r="D56" s="25">
        <v>1151382.0</v>
      </c>
      <c r="E56" s="21" t="s">
        <v>266</v>
      </c>
      <c r="F56" s="25">
        <v>2.0</v>
      </c>
      <c r="G56" s="25">
        <v>4.0</v>
      </c>
      <c r="H56" s="25" t="s">
        <v>39</v>
      </c>
      <c r="I56" s="25" t="s">
        <v>21</v>
      </c>
      <c r="J56" s="25"/>
      <c r="K56" s="25">
        <v>2.0</v>
      </c>
      <c r="L56" s="25">
        <v>4.0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ht="15.75" customHeight="1">
      <c r="A57" s="21"/>
      <c r="B57" s="21"/>
      <c r="C57" s="21"/>
      <c r="D57" s="21"/>
      <c r="E57" s="21"/>
      <c r="F57" s="25">
        <v>2.0</v>
      </c>
      <c r="G57" s="25">
        <v>4.0</v>
      </c>
      <c r="H57" s="25" t="s">
        <v>46</v>
      </c>
      <c r="I57" s="25" t="s">
        <v>21</v>
      </c>
      <c r="J57" s="25"/>
      <c r="K57" s="25">
        <v>2.0</v>
      </c>
      <c r="L57" s="25">
        <v>4.0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ht="15.75" customHeight="1">
      <c r="A58" s="21"/>
      <c r="B58" s="21"/>
      <c r="C58" s="21"/>
      <c r="D58" s="21"/>
      <c r="E58" s="21"/>
      <c r="F58" s="25">
        <v>2.0</v>
      </c>
      <c r="G58" s="25">
        <v>4.0</v>
      </c>
      <c r="H58" s="25" t="s">
        <v>53</v>
      </c>
      <c r="I58" s="25" t="s">
        <v>21</v>
      </c>
      <c r="J58" s="25"/>
      <c r="K58" s="25">
        <v>2.0</v>
      </c>
      <c r="L58" s="25">
        <v>4.0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ht="15.75" customHeight="1">
      <c r="A59" s="12">
        <v>10.0</v>
      </c>
      <c r="B59" s="12" t="s">
        <v>269</v>
      </c>
      <c r="C59" s="15" t="s">
        <v>270</v>
      </c>
      <c r="D59" s="16"/>
      <c r="E59" s="16"/>
      <c r="F59" s="16"/>
      <c r="G59" s="16"/>
      <c r="H59" s="16"/>
      <c r="I59" s="16"/>
      <c r="J59" s="24"/>
      <c r="K59" s="24">
        <f t="shared" ref="K59:L59" si="10">SUM(K60:K65)</f>
        <v>12</v>
      </c>
      <c r="L59" s="24">
        <f t="shared" si="10"/>
        <v>18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t="15.75" customHeight="1">
      <c r="A60" s="21"/>
      <c r="B60" s="21"/>
      <c r="C60" s="21"/>
      <c r="D60" s="25">
        <v>1150372.0</v>
      </c>
      <c r="E60" s="21" t="s">
        <v>271</v>
      </c>
      <c r="F60" s="25">
        <v>2.0</v>
      </c>
      <c r="G60" s="25">
        <v>2.0</v>
      </c>
      <c r="H60" s="25" t="s">
        <v>39</v>
      </c>
      <c r="I60" s="25" t="s">
        <v>21</v>
      </c>
      <c r="J60" s="25"/>
      <c r="K60" s="25">
        <v>2.0</v>
      </c>
      <c r="L60" s="25">
        <v>2.0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ht="15.75" customHeight="1">
      <c r="A61" s="21"/>
      <c r="B61" s="21"/>
      <c r="C61" s="21"/>
      <c r="D61" s="21"/>
      <c r="E61" s="21"/>
      <c r="F61" s="25">
        <v>2.0</v>
      </c>
      <c r="G61" s="25">
        <v>2.0</v>
      </c>
      <c r="H61" s="25" t="s">
        <v>46</v>
      </c>
      <c r="I61" s="25" t="s">
        <v>21</v>
      </c>
      <c r="J61" s="25"/>
      <c r="K61" s="25">
        <v>2.0</v>
      </c>
      <c r="L61" s="25">
        <v>2.0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t="15.75" customHeight="1">
      <c r="A62" s="21"/>
      <c r="B62" s="21"/>
      <c r="C62" s="21"/>
      <c r="D62" s="21"/>
      <c r="E62" s="21"/>
      <c r="F62" s="25">
        <v>2.0</v>
      </c>
      <c r="G62" s="25">
        <v>2.0</v>
      </c>
      <c r="H62" s="25" t="s">
        <v>53</v>
      </c>
      <c r="I62" s="25" t="s">
        <v>21</v>
      </c>
      <c r="J62" s="25"/>
      <c r="K62" s="25">
        <v>2.0</v>
      </c>
      <c r="L62" s="25">
        <v>2.0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t="15.75" customHeight="1">
      <c r="A63" s="21"/>
      <c r="B63" s="21"/>
      <c r="C63" s="21"/>
      <c r="D63" s="25">
        <v>1151392.0</v>
      </c>
      <c r="E63" s="21" t="s">
        <v>273</v>
      </c>
      <c r="F63" s="25">
        <v>2.0</v>
      </c>
      <c r="G63" s="25">
        <v>4.0</v>
      </c>
      <c r="H63" s="25" t="s">
        <v>39</v>
      </c>
      <c r="I63" s="25" t="s">
        <v>21</v>
      </c>
      <c r="J63" s="25"/>
      <c r="K63" s="25">
        <v>2.0</v>
      </c>
      <c r="L63" s="25">
        <v>4.0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t="15.75" customHeight="1">
      <c r="A64" s="31"/>
      <c r="B64" s="31"/>
      <c r="C64" s="31"/>
      <c r="D64" s="21"/>
      <c r="E64" s="31"/>
      <c r="F64" s="25">
        <v>2.0</v>
      </c>
      <c r="G64" s="25">
        <v>4.0</v>
      </c>
      <c r="H64" s="25" t="s">
        <v>46</v>
      </c>
      <c r="I64" s="25" t="s">
        <v>21</v>
      </c>
      <c r="J64" s="25"/>
      <c r="K64" s="25">
        <v>2.0</v>
      </c>
      <c r="L64" s="25">
        <v>4.0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15.75" customHeight="1">
      <c r="A65" s="31"/>
      <c r="B65" s="31"/>
      <c r="C65" s="31"/>
      <c r="D65" s="21"/>
      <c r="E65" s="31"/>
      <c r="F65" s="25">
        <v>2.0</v>
      </c>
      <c r="G65" s="25">
        <v>4.0</v>
      </c>
      <c r="H65" s="25" t="s">
        <v>53</v>
      </c>
      <c r="I65" s="25" t="s">
        <v>21</v>
      </c>
      <c r="J65" s="25"/>
      <c r="K65" s="25">
        <v>2.0</v>
      </c>
      <c r="L65" s="25">
        <v>4.0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t="15.75" customHeight="1">
      <c r="A66" s="12">
        <v>11.0</v>
      </c>
      <c r="B66" s="12" t="s">
        <v>226</v>
      </c>
      <c r="C66" s="15" t="s">
        <v>227</v>
      </c>
      <c r="D66" s="16"/>
      <c r="E66" s="16"/>
      <c r="F66" s="16"/>
      <c r="G66" s="16"/>
      <c r="H66" s="16"/>
      <c r="I66" s="16"/>
      <c r="J66" s="24"/>
      <c r="K66" s="24">
        <f t="shared" ref="K66:L66" si="11">SUM(K67:K69)</f>
        <v>6</v>
      </c>
      <c r="L66" s="24">
        <f t="shared" si="11"/>
        <v>6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t="15.75" customHeight="1">
      <c r="A67" s="21"/>
      <c r="B67" s="21"/>
      <c r="C67" s="21"/>
      <c r="D67" s="59" t="s">
        <v>185</v>
      </c>
      <c r="E67" s="21" t="s">
        <v>186</v>
      </c>
      <c r="F67" s="25">
        <v>2.0</v>
      </c>
      <c r="G67" s="25">
        <v>2.0</v>
      </c>
      <c r="H67" s="25" t="s">
        <v>127</v>
      </c>
      <c r="I67" s="25" t="s">
        <v>21</v>
      </c>
      <c r="J67" s="25"/>
      <c r="K67" s="25">
        <v>2.0</v>
      </c>
      <c r="L67" s="25">
        <v>2.0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t="15.75" customHeight="1">
      <c r="A68" s="21"/>
      <c r="B68" s="21"/>
      <c r="C68" s="21"/>
      <c r="D68" s="21"/>
      <c r="E68" s="21"/>
      <c r="F68" s="25">
        <v>2.0</v>
      </c>
      <c r="G68" s="25">
        <v>2.0</v>
      </c>
      <c r="H68" s="25" t="s">
        <v>130</v>
      </c>
      <c r="I68" s="25" t="s">
        <v>21</v>
      </c>
      <c r="J68" s="25"/>
      <c r="K68" s="25">
        <v>2.0</v>
      </c>
      <c r="L68" s="25">
        <v>2.0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t="15.75" customHeight="1">
      <c r="A69" s="21"/>
      <c r="B69" s="21"/>
      <c r="C69" s="21"/>
      <c r="D69" s="21"/>
      <c r="E69" s="21"/>
      <c r="F69" s="25">
        <v>2.0</v>
      </c>
      <c r="G69" s="25">
        <v>2.0</v>
      </c>
      <c r="H69" s="25" t="s">
        <v>30</v>
      </c>
      <c r="I69" s="25" t="s">
        <v>21</v>
      </c>
      <c r="J69" s="25"/>
      <c r="K69" s="25">
        <v>2.0</v>
      </c>
      <c r="L69" s="25">
        <v>2.0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ht="15.75" customHeight="1">
      <c r="A70" s="12">
        <v>11.0</v>
      </c>
      <c r="B70" s="12" t="s">
        <v>17</v>
      </c>
      <c r="C70" s="75" t="s">
        <v>18</v>
      </c>
      <c r="D70" s="16"/>
      <c r="E70" s="16"/>
      <c r="F70" s="16"/>
      <c r="G70" s="16"/>
      <c r="H70" s="16"/>
      <c r="I70" s="16"/>
      <c r="J70" s="24"/>
      <c r="K70" s="24">
        <f t="shared" ref="K70:L70" si="12">SUM(K71)</f>
        <v>2</v>
      </c>
      <c r="L70" s="24">
        <f t="shared" si="12"/>
        <v>2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ht="15.75" customHeight="1">
      <c r="A71" s="74"/>
      <c r="B71" s="74"/>
      <c r="C71" s="21"/>
      <c r="D71" s="29">
        <v>1110012.0</v>
      </c>
      <c r="E71" s="31" t="s">
        <v>71</v>
      </c>
      <c r="F71" s="25">
        <v>2.0</v>
      </c>
      <c r="G71" s="25">
        <v>2.0</v>
      </c>
      <c r="H71" s="25" t="s">
        <v>127</v>
      </c>
      <c r="I71" s="25" t="s">
        <v>21</v>
      </c>
      <c r="J71" s="25"/>
      <c r="K71" s="25">
        <v>2.0</v>
      </c>
      <c r="L71" s="25">
        <v>2.0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ht="15.75" customHeight="1">
      <c r="A72" s="12">
        <v>12.0</v>
      </c>
      <c r="B72" s="12" t="s">
        <v>13</v>
      </c>
      <c r="C72" s="75" t="s">
        <v>16</v>
      </c>
      <c r="D72" s="16"/>
      <c r="E72" s="16"/>
      <c r="F72" s="16"/>
      <c r="G72" s="16"/>
      <c r="H72" s="16"/>
      <c r="I72" s="16"/>
      <c r="J72" s="24"/>
      <c r="K72" s="24">
        <f t="shared" ref="K72:L72" si="13">SUM(K73)</f>
        <v>2</v>
      </c>
      <c r="L72" s="24">
        <f t="shared" si="13"/>
        <v>2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t="15.75" customHeight="1">
      <c r="A73" s="74"/>
      <c r="B73" s="74"/>
      <c r="C73" s="21"/>
      <c r="D73" s="29">
        <v>1110012.0</v>
      </c>
      <c r="E73" s="31" t="s">
        <v>71</v>
      </c>
      <c r="F73" s="25">
        <v>2.0</v>
      </c>
      <c r="G73" s="25">
        <v>2.0</v>
      </c>
      <c r="H73" s="25" t="s">
        <v>130</v>
      </c>
      <c r="I73" s="25" t="s">
        <v>21</v>
      </c>
      <c r="J73" s="25"/>
      <c r="K73" s="25">
        <v>2.0</v>
      </c>
      <c r="L73" s="25">
        <v>2.0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15.75" customHeight="1">
      <c r="A74" s="12">
        <v>13.0</v>
      </c>
      <c r="B74" s="12" t="s">
        <v>60</v>
      </c>
      <c r="C74" s="75" t="s">
        <v>63</v>
      </c>
      <c r="D74" s="16"/>
      <c r="E74" s="16"/>
      <c r="F74" s="16"/>
      <c r="G74" s="16"/>
      <c r="H74" s="16"/>
      <c r="I74" s="16"/>
      <c r="J74" s="24"/>
      <c r="K74" s="24">
        <f t="shared" ref="K74:L74" si="14">SUM(K75)</f>
        <v>2</v>
      </c>
      <c r="L74" s="24">
        <f t="shared" si="14"/>
        <v>2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t="15.75" customHeight="1">
      <c r="A75" s="74"/>
      <c r="B75" s="74"/>
      <c r="C75" s="21"/>
      <c r="D75" s="29">
        <v>1110012.0</v>
      </c>
      <c r="E75" s="31" t="s">
        <v>71</v>
      </c>
      <c r="F75" s="25">
        <v>2.0</v>
      </c>
      <c r="G75" s="25">
        <v>2.0</v>
      </c>
      <c r="H75" s="25" t="s">
        <v>30</v>
      </c>
      <c r="I75" s="25" t="s">
        <v>21</v>
      </c>
      <c r="J75" s="25"/>
      <c r="K75" s="25">
        <v>2.0</v>
      </c>
      <c r="L75" s="25">
        <v>2.0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15.75" customHeight="1">
      <c r="A76" s="12">
        <v>14.0</v>
      </c>
      <c r="B76" s="12" t="s">
        <v>173</v>
      </c>
      <c r="C76" s="15" t="s">
        <v>274</v>
      </c>
      <c r="D76" s="16"/>
      <c r="E76" s="16"/>
      <c r="F76" s="16"/>
      <c r="G76" s="16"/>
      <c r="H76" s="16"/>
      <c r="I76" s="16"/>
      <c r="J76" s="24"/>
      <c r="K76" s="24">
        <f t="shared" ref="K76:L76" si="15">SUM(K77:K79)</f>
        <v>6</v>
      </c>
      <c r="L76" s="24">
        <f t="shared" si="15"/>
        <v>6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ht="15.75" customHeight="1">
      <c r="A77" s="21"/>
      <c r="B77" s="21"/>
      <c r="C77" s="21"/>
      <c r="D77" s="25">
        <v>1110032.0</v>
      </c>
      <c r="E77" s="21" t="s">
        <v>198</v>
      </c>
      <c r="F77" s="25">
        <v>2.0</v>
      </c>
      <c r="G77" s="25">
        <v>2.0</v>
      </c>
      <c r="H77" s="25" t="s">
        <v>127</v>
      </c>
      <c r="I77" s="25" t="s">
        <v>21</v>
      </c>
      <c r="J77" s="25"/>
      <c r="K77" s="25">
        <v>2.0</v>
      </c>
      <c r="L77" s="25">
        <v>2.0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ht="15.75" customHeight="1">
      <c r="A78" s="21"/>
      <c r="B78" s="21"/>
      <c r="C78" s="21"/>
      <c r="D78" s="21"/>
      <c r="E78" s="21"/>
      <c r="F78" s="25">
        <v>2.0</v>
      </c>
      <c r="G78" s="25">
        <v>2.0</v>
      </c>
      <c r="H78" s="25" t="s">
        <v>130</v>
      </c>
      <c r="I78" s="25" t="s">
        <v>21</v>
      </c>
      <c r="J78" s="25"/>
      <c r="K78" s="25">
        <v>2.0</v>
      </c>
      <c r="L78" s="25">
        <v>2.0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ht="15.75" customHeight="1">
      <c r="A79" s="21"/>
      <c r="B79" s="21"/>
      <c r="C79" s="21"/>
      <c r="D79" s="21"/>
      <c r="E79" s="21"/>
      <c r="F79" s="25">
        <v>2.0</v>
      </c>
      <c r="G79" s="25">
        <v>2.0</v>
      </c>
      <c r="H79" s="25" t="s">
        <v>30</v>
      </c>
      <c r="I79" s="25" t="s">
        <v>21</v>
      </c>
      <c r="J79" s="25"/>
      <c r="K79" s="25">
        <v>2.0</v>
      </c>
      <c r="L79" s="25">
        <v>2.0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ht="15.75" customHeight="1">
      <c r="A80" s="12">
        <v>15.0</v>
      </c>
      <c r="B80" s="12" t="s">
        <v>187</v>
      </c>
      <c r="C80" s="15" t="s">
        <v>188</v>
      </c>
      <c r="D80" s="16"/>
      <c r="E80" s="16"/>
      <c r="F80" s="16"/>
      <c r="G80" s="16"/>
      <c r="H80" s="16"/>
      <c r="I80" s="16"/>
      <c r="J80" s="24"/>
      <c r="K80" s="24">
        <f t="shared" ref="K80:L80" si="16">SUM(K81:K83)</f>
        <v>6</v>
      </c>
      <c r="L80" s="24">
        <f t="shared" si="16"/>
        <v>6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ht="15.75" customHeight="1">
      <c r="A81" s="21"/>
      <c r="B81" s="21"/>
      <c r="C81" s="21"/>
      <c r="D81" s="40">
        <v>1130162.0</v>
      </c>
      <c r="E81" s="40" t="s">
        <v>278</v>
      </c>
      <c r="F81" s="25">
        <v>2.0</v>
      </c>
      <c r="G81" s="25">
        <v>2.0</v>
      </c>
      <c r="H81" s="25" t="s">
        <v>88</v>
      </c>
      <c r="I81" s="25" t="s">
        <v>21</v>
      </c>
      <c r="J81" s="25"/>
      <c r="K81" s="25">
        <v>2.0</v>
      </c>
      <c r="L81" s="25">
        <v>2.0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ht="15.75" customHeight="1">
      <c r="A82" s="21"/>
      <c r="B82" s="21"/>
      <c r="C82" s="21"/>
      <c r="D82" s="21"/>
      <c r="E82" s="21"/>
      <c r="F82" s="25">
        <v>2.0</v>
      </c>
      <c r="G82" s="25">
        <v>2.0</v>
      </c>
      <c r="H82" s="25" t="s">
        <v>95</v>
      </c>
      <c r="I82" s="25" t="s">
        <v>21</v>
      </c>
      <c r="J82" s="25"/>
      <c r="K82" s="25">
        <v>2.0</v>
      </c>
      <c r="L82" s="25">
        <v>2.0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ht="15.75" customHeight="1">
      <c r="A83" s="21"/>
      <c r="B83" s="21"/>
      <c r="C83" s="21"/>
      <c r="D83" s="77"/>
      <c r="E83" s="77"/>
      <c r="F83" s="78">
        <v>2.0</v>
      </c>
      <c r="G83" s="78">
        <v>2.0</v>
      </c>
      <c r="H83" s="78" t="s">
        <v>101</v>
      </c>
      <c r="I83" s="78" t="s">
        <v>21</v>
      </c>
      <c r="J83" s="78"/>
      <c r="K83" s="78">
        <v>2.0</v>
      </c>
      <c r="L83" s="78">
        <v>2.0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ht="15.75" customHeight="1">
      <c r="A84" s="12">
        <v>16.0</v>
      </c>
      <c r="B84" s="12" t="s">
        <v>160</v>
      </c>
      <c r="C84" s="16" t="s">
        <v>162</v>
      </c>
      <c r="D84" s="16"/>
      <c r="E84" s="16"/>
      <c r="F84" s="16"/>
      <c r="G84" s="16"/>
      <c r="H84" s="16"/>
      <c r="I84" s="16"/>
      <c r="J84" s="24"/>
      <c r="K84" s="24">
        <f t="shared" ref="K84:L84" si="17">SUM(K85:K86)</f>
        <v>4</v>
      </c>
      <c r="L84" s="24">
        <f t="shared" si="17"/>
        <v>8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ht="15.75" customHeight="1">
      <c r="A85" s="21"/>
      <c r="B85" s="21"/>
      <c r="C85" s="21"/>
      <c r="D85" s="29">
        <v>1131212.0</v>
      </c>
      <c r="E85" s="31" t="s">
        <v>280</v>
      </c>
      <c r="F85" s="25">
        <v>2.0</v>
      </c>
      <c r="G85" s="25">
        <v>4.0</v>
      </c>
      <c r="H85" s="25" t="s">
        <v>88</v>
      </c>
      <c r="I85" s="25" t="s">
        <v>21</v>
      </c>
      <c r="J85" s="25"/>
      <c r="K85" s="25">
        <v>2.0</v>
      </c>
      <c r="L85" s="25">
        <v>4.0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ht="15.75" customHeight="1">
      <c r="A86" s="21"/>
      <c r="B86" s="21"/>
      <c r="C86" s="21"/>
      <c r="D86" s="21"/>
      <c r="E86" s="21"/>
      <c r="F86" s="25">
        <v>2.0</v>
      </c>
      <c r="G86" s="25">
        <v>4.0</v>
      </c>
      <c r="H86" s="25" t="s">
        <v>95</v>
      </c>
      <c r="I86" s="25" t="s">
        <v>21</v>
      </c>
      <c r="J86" s="25"/>
      <c r="K86" s="25">
        <v>2.0</v>
      </c>
      <c r="L86" s="25">
        <v>4.0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ht="15.75" customHeight="1">
      <c r="A87" s="12">
        <v>17.0</v>
      </c>
      <c r="B87" s="12" t="s">
        <v>243</v>
      </c>
      <c r="C87" s="15" t="s">
        <v>281</v>
      </c>
      <c r="D87" s="16"/>
      <c r="E87" s="16"/>
      <c r="F87" s="16"/>
      <c r="G87" s="16"/>
      <c r="H87" s="16"/>
      <c r="I87" s="16"/>
      <c r="J87" s="24"/>
      <c r="K87" s="24">
        <f t="shared" ref="K87:L87" si="18">SUM(K88)</f>
        <v>2</v>
      </c>
      <c r="L87" s="24">
        <f t="shared" si="18"/>
        <v>4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ht="15.75" customHeight="1">
      <c r="A88" s="21"/>
      <c r="B88" s="21"/>
      <c r="C88" s="21"/>
      <c r="D88" s="29">
        <v>1131212.0</v>
      </c>
      <c r="E88" s="31" t="s">
        <v>280</v>
      </c>
      <c r="F88" s="25">
        <v>2.0</v>
      </c>
      <c r="G88" s="25">
        <v>4.0</v>
      </c>
      <c r="H88" s="25" t="s">
        <v>101</v>
      </c>
      <c r="I88" s="25" t="s">
        <v>21</v>
      </c>
      <c r="J88" s="25"/>
      <c r="K88" s="25">
        <v>2.0</v>
      </c>
      <c r="L88" s="25">
        <v>4.0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ht="15.75" customHeight="1">
      <c r="A89" s="12">
        <v>18.0</v>
      </c>
      <c r="B89" s="12" t="s">
        <v>192</v>
      </c>
      <c r="C89" s="15" t="s">
        <v>282</v>
      </c>
      <c r="D89" s="16"/>
      <c r="E89" s="16"/>
      <c r="F89" s="16"/>
      <c r="G89" s="16"/>
      <c r="H89" s="16"/>
      <c r="I89" s="16"/>
      <c r="J89" s="24"/>
      <c r="K89" s="24">
        <f t="shared" ref="K89:L89" si="19">SUM(K90:K92)</f>
        <v>6</v>
      </c>
      <c r="L89" s="24">
        <f t="shared" si="19"/>
        <v>12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ht="15.75" customHeight="1">
      <c r="A90" s="21"/>
      <c r="B90" s="21"/>
      <c r="C90" s="21"/>
      <c r="D90" s="25">
        <v>1151442.0</v>
      </c>
      <c r="E90" s="21" t="s">
        <v>283</v>
      </c>
      <c r="F90" s="25">
        <v>2.0</v>
      </c>
      <c r="G90" s="25">
        <v>4.0</v>
      </c>
      <c r="H90" s="25" t="s">
        <v>39</v>
      </c>
      <c r="I90" s="25" t="s">
        <v>21</v>
      </c>
      <c r="J90" s="25"/>
      <c r="K90" s="25">
        <v>2.0</v>
      </c>
      <c r="L90" s="25">
        <v>4.0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ht="15.75" customHeight="1">
      <c r="A91" s="21"/>
      <c r="B91" s="21"/>
      <c r="C91" s="21"/>
      <c r="D91" s="21"/>
      <c r="E91" s="21"/>
      <c r="F91" s="25">
        <v>2.0</v>
      </c>
      <c r="G91" s="25">
        <v>4.0</v>
      </c>
      <c r="H91" s="25" t="s">
        <v>46</v>
      </c>
      <c r="I91" s="25" t="s">
        <v>21</v>
      </c>
      <c r="J91" s="25"/>
      <c r="K91" s="25">
        <v>2.0</v>
      </c>
      <c r="L91" s="25">
        <v>4.0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ht="15.75" customHeight="1">
      <c r="A92" s="21"/>
      <c r="B92" s="21"/>
      <c r="C92" s="21"/>
      <c r="D92" s="21"/>
      <c r="E92" s="21"/>
      <c r="F92" s="25">
        <v>2.0</v>
      </c>
      <c r="G92" s="25">
        <v>4.0</v>
      </c>
      <c r="H92" s="25" t="s">
        <v>53</v>
      </c>
      <c r="I92" s="25" t="s">
        <v>21</v>
      </c>
      <c r="J92" s="25"/>
      <c r="K92" s="25">
        <v>2.0</v>
      </c>
      <c r="L92" s="25">
        <v>4.0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ht="15.75" customHeight="1">
      <c r="A93" s="12">
        <v>19.0</v>
      </c>
      <c r="B93" s="12" t="s">
        <v>284</v>
      </c>
      <c r="C93" s="15" t="s">
        <v>285</v>
      </c>
      <c r="D93" s="16"/>
      <c r="E93" s="16"/>
      <c r="F93" s="16"/>
      <c r="G93" s="16"/>
      <c r="H93" s="16"/>
      <c r="I93" s="16"/>
      <c r="J93" s="24"/>
      <c r="K93" s="24">
        <f t="shared" ref="K93:L93" si="20">SUM(K94:K96)</f>
        <v>6</v>
      </c>
      <c r="L93" s="24">
        <f t="shared" si="20"/>
        <v>6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ht="15.75" customHeight="1">
      <c r="A94" s="21"/>
      <c r="B94" s="21"/>
      <c r="C94" s="21"/>
      <c r="D94" s="25">
        <v>1150422.0</v>
      </c>
      <c r="E94" s="21" t="s">
        <v>286</v>
      </c>
      <c r="F94" s="25">
        <v>2.0</v>
      </c>
      <c r="G94" s="25">
        <v>2.0</v>
      </c>
      <c r="H94" s="25" t="s">
        <v>39</v>
      </c>
      <c r="I94" s="25" t="s">
        <v>21</v>
      </c>
      <c r="J94" s="25"/>
      <c r="K94" s="25">
        <v>2.0</v>
      </c>
      <c r="L94" s="25">
        <v>2.0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ht="15.75" customHeight="1">
      <c r="A95" s="21"/>
      <c r="B95" s="21"/>
      <c r="C95" s="21"/>
      <c r="D95" s="21"/>
      <c r="E95" s="21"/>
      <c r="F95" s="25">
        <v>2.0</v>
      </c>
      <c r="G95" s="25">
        <v>2.0</v>
      </c>
      <c r="H95" s="25" t="s">
        <v>46</v>
      </c>
      <c r="I95" s="25" t="s">
        <v>21</v>
      </c>
      <c r="J95" s="25"/>
      <c r="K95" s="25">
        <v>2.0</v>
      </c>
      <c r="L95" s="25">
        <v>2.0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t="15.75" customHeight="1">
      <c r="A96" s="21"/>
      <c r="B96" s="21"/>
      <c r="C96" s="21"/>
      <c r="D96" s="21"/>
      <c r="E96" s="21"/>
      <c r="F96" s="25">
        <v>2.0</v>
      </c>
      <c r="G96" s="25">
        <v>2.0</v>
      </c>
      <c r="H96" s="25" t="s">
        <v>53</v>
      </c>
      <c r="I96" s="25" t="s">
        <v>21</v>
      </c>
      <c r="J96" s="25"/>
      <c r="K96" s="25">
        <v>2.0</v>
      </c>
      <c r="L96" s="25">
        <v>2.0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15.75" customHeight="1">
      <c r="A97" s="12">
        <v>20.0</v>
      </c>
      <c r="B97" s="12" t="s">
        <v>202</v>
      </c>
      <c r="C97" s="15" t="s">
        <v>287</v>
      </c>
      <c r="D97" s="16"/>
      <c r="E97" s="16"/>
      <c r="F97" s="16"/>
      <c r="G97" s="16"/>
      <c r="H97" s="16"/>
      <c r="I97" s="16"/>
      <c r="J97" s="24"/>
      <c r="K97" s="24">
        <f t="shared" ref="K97:L97" si="21">SUM(K98:K100)</f>
        <v>6</v>
      </c>
      <c r="L97" s="24">
        <f t="shared" si="21"/>
        <v>12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t="15.75" customHeight="1">
      <c r="A98" s="21"/>
      <c r="B98" s="21"/>
      <c r="C98" s="21"/>
      <c r="D98" s="25">
        <v>1111052.0</v>
      </c>
      <c r="E98" s="21" t="s">
        <v>288</v>
      </c>
      <c r="F98" s="25">
        <v>2.0</v>
      </c>
      <c r="G98" s="25">
        <v>4.0</v>
      </c>
      <c r="H98" s="25" t="s">
        <v>127</v>
      </c>
      <c r="I98" s="25" t="s">
        <v>21</v>
      </c>
      <c r="J98" s="25"/>
      <c r="K98" s="25">
        <v>2.0</v>
      </c>
      <c r="L98" s="25">
        <v>4.0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t="15.75" customHeight="1">
      <c r="A99" s="21"/>
      <c r="B99" s="21"/>
      <c r="C99" s="21"/>
      <c r="D99" s="21"/>
      <c r="E99" s="21"/>
      <c r="F99" s="25">
        <v>2.0</v>
      </c>
      <c r="G99" s="25">
        <v>4.0</v>
      </c>
      <c r="H99" s="25" t="s">
        <v>130</v>
      </c>
      <c r="I99" s="25" t="s">
        <v>21</v>
      </c>
      <c r="J99" s="25"/>
      <c r="K99" s="25">
        <v>2.0</v>
      </c>
      <c r="L99" s="25">
        <v>4.0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15.75" customHeight="1">
      <c r="A100" s="21"/>
      <c r="B100" s="21"/>
      <c r="C100" s="21"/>
      <c r="D100" s="21"/>
      <c r="E100" s="21"/>
      <c r="F100" s="25">
        <v>2.0</v>
      </c>
      <c r="G100" s="25">
        <v>4.0</v>
      </c>
      <c r="H100" s="25" t="s">
        <v>30</v>
      </c>
      <c r="I100" s="25" t="s">
        <v>21</v>
      </c>
      <c r="J100" s="25"/>
      <c r="K100" s="25">
        <v>2.0</v>
      </c>
      <c r="L100" s="25">
        <v>4.0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t="15.75" customHeight="1">
      <c r="A101" s="79"/>
      <c r="B101" s="79"/>
      <c r="C101" s="80"/>
      <c r="D101" s="73"/>
      <c r="E101" s="73"/>
      <c r="F101" s="73"/>
      <c r="G101" s="73"/>
      <c r="H101" s="73"/>
      <c r="I101" s="73"/>
      <c r="J101" s="81"/>
      <c r="K101" s="81"/>
      <c r="L101" s="81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t="15.75" customHeight="1">
      <c r="A102" s="73"/>
      <c r="B102" s="73"/>
      <c r="C102" s="73"/>
      <c r="D102" s="79"/>
      <c r="E102" s="73"/>
      <c r="F102" s="79"/>
      <c r="G102" s="79"/>
      <c r="H102" s="79"/>
      <c r="I102" s="79"/>
      <c r="J102" s="79"/>
      <c r="K102" s="79"/>
      <c r="L102" s="7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ht="15.75" customHeight="1">
      <c r="A103" s="73"/>
      <c r="B103" s="73"/>
      <c r="C103" s="73"/>
      <c r="D103" s="73"/>
      <c r="E103" s="73"/>
      <c r="F103" s="79"/>
      <c r="G103" s="79"/>
      <c r="H103" s="79"/>
      <c r="I103" s="79"/>
      <c r="J103" s="79"/>
      <c r="K103" s="79"/>
      <c r="L103" s="7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t="15.75" customHeight="1">
      <c r="A104" s="73"/>
      <c r="B104" s="73"/>
      <c r="C104" s="73"/>
      <c r="D104" s="73"/>
      <c r="E104" s="73"/>
      <c r="F104" s="79"/>
      <c r="G104" s="79"/>
      <c r="H104" s="79"/>
      <c r="I104" s="79"/>
      <c r="J104" s="79"/>
      <c r="K104" s="79"/>
      <c r="L104" s="7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6.57"/>
    <col customWidth="1" min="3" max="3" width="41.0"/>
    <col customWidth="1" min="4" max="4" width="13.0"/>
    <col customWidth="1" min="5" max="5" width="39.0"/>
    <col customWidth="1" min="6" max="6" width="5.71"/>
    <col customWidth="1" min="7" max="7" width="6.14"/>
    <col customWidth="1" min="8" max="8" width="8.71"/>
    <col customWidth="1" min="9" max="9" width="7.71"/>
    <col customWidth="1" min="10" max="10" width="23.57"/>
    <col customWidth="1" min="11" max="11" width="16.0"/>
    <col customWidth="1" min="12" max="12" width="14.0"/>
    <col customWidth="1" min="13" max="28" width="8.71"/>
  </cols>
  <sheetData>
    <row r="1">
      <c r="A1" s="3" t="s">
        <v>0</v>
      </c>
      <c r="B1" s="3" t="s">
        <v>1</v>
      </c>
      <c r="C1" s="3" t="s">
        <v>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8" t="s">
        <v>8</v>
      </c>
      <c r="K1" s="3" t="s">
        <v>9</v>
      </c>
      <c r="L1" s="3" t="s">
        <v>10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3"/>
    </row>
    <row r="2">
      <c r="A2" s="12">
        <v>1.0</v>
      </c>
      <c r="B2" s="12" t="s">
        <v>17</v>
      </c>
      <c r="C2" s="16" t="s">
        <v>18</v>
      </c>
      <c r="D2" s="17"/>
      <c r="E2" s="17"/>
      <c r="F2" s="17"/>
      <c r="G2" s="17"/>
      <c r="H2" s="17"/>
      <c r="I2" s="17"/>
      <c r="J2" s="14" t="s">
        <v>22</v>
      </c>
      <c r="K2" s="26">
        <f t="shared" ref="K2:L2" si="1">SUM(K3:K6)</f>
        <v>12</v>
      </c>
      <c r="L2" s="26">
        <f t="shared" si="1"/>
        <v>24</v>
      </c>
      <c r="M2" s="10"/>
      <c r="N2" s="10"/>
      <c r="O2" s="10"/>
      <c r="P2" s="10"/>
      <c r="Q2" s="10"/>
      <c r="R2" s="10"/>
      <c r="S2" s="27"/>
      <c r="T2" s="10"/>
      <c r="U2" s="10"/>
      <c r="V2" s="10"/>
      <c r="W2" s="10"/>
      <c r="X2" s="10"/>
      <c r="Y2" s="10"/>
      <c r="Z2" s="10"/>
      <c r="AA2" s="10"/>
      <c r="AB2" s="13"/>
    </row>
    <row r="3">
      <c r="A3" s="28"/>
      <c r="B3" s="28"/>
      <c r="C3" s="21"/>
      <c r="D3" s="25">
        <v>1532073.0</v>
      </c>
      <c r="E3" s="21" t="s">
        <v>31</v>
      </c>
      <c r="F3" s="25">
        <v>2.0</v>
      </c>
      <c r="G3" s="25">
        <v>4.0</v>
      </c>
      <c r="H3" s="25" t="s">
        <v>34</v>
      </c>
      <c r="I3" s="25" t="s">
        <v>22</v>
      </c>
      <c r="J3" s="25"/>
      <c r="K3" s="25">
        <v>2.0</v>
      </c>
      <c r="L3" s="25">
        <v>4.0</v>
      </c>
      <c r="M3" s="10"/>
      <c r="N3" s="10"/>
      <c r="O3" s="10"/>
      <c r="P3" s="10"/>
      <c r="Q3" s="10"/>
      <c r="R3" s="10"/>
      <c r="S3" s="27"/>
      <c r="T3" s="10"/>
      <c r="U3" s="10"/>
      <c r="V3" s="10"/>
      <c r="W3" s="10"/>
      <c r="X3" s="10"/>
      <c r="Y3" s="10"/>
      <c r="Z3" s="10"/>
      <c r="AA3" s="10"/>
      <c r="AB3" s="13"/>
    </row>
    <row r="4">
      <c r="A4" s="28"/>
      <c r="B4" s="28"/>
      <c r="D4" s="28"/>
      <c r="E4" s="28"/>
      <c r="F4" s="25">
        <v>2.0</v>
      </c>
      <c r="G4" s="25">
        <v>4.0</v>
      </c>
      <c r="H4" s="25" t="s">
        <v>41</v>
      </c>
      <c r="I4" s="25" t="s">
        <v>22</v>
      </c>
      <c r="J4" s="25"/>
      <c r="K4" s="25">
        <v>2.0</v>
      </c>
      <c r="L4" s="25">
        <v>4.0</v>
      </c>
      <c r="M4" s="10"/>
      <c r="N4" s="10"/>
      <c r="O4" s="10"/>
      <c r="P4" s="10"/>
      <c r="Q4" s="10"/>
      <c r="R4" s="10"/>
      <c r="S4" s="27"/>
      <c r="T4" s="10"/>
      <c r="U4" s="10"/>
      <c r="V4" s="10"/>
      <c r="W4" s="10"/>
      <c r="X4" s="10"/>
      <c r="Y4" s="10"/>
      <c r="Z4" s="10"/>
      <c r="AA4" s="10"/>
      <c r="AB4" s="13"/>
    </row>
    <row r="5">
      <c r="A5" s="28"/>
      <c r="B5" s="28"/>
      <c r="C5" s="28"/>
      <c r="D5" s="25">
        <v>1511024.0</v>
      </c>
      <c r="E5" s="21" t="s">
        <v>44</v>
      </c>
      <c r="F5" s="25">
        <v>4.0</v>
      </c>
      <c r="G5" s="25">
        <v>8.0</v>
      </c>
      <c r="H5" s="25" t="s">
        <v>47</v>
      </c>
      <c r="I5" s="25" t="s">
        <v>22</v>
      </c>
      <c r="J5" s="25"/>
      <c r="K5" s="25">
        <v>4.0</v>
      </c>
      <c r="L5" s="25">
        <v>8.0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3"/>
    </row>
    <row r="6">
      <c r="A6" s="28"/>
      <c r="B6" s="28"/>
      <c r="C6" s="28"/>
      <c r="D6" s="28"/>
      <c r="E6" s="28"/>
      <c r="F6" s="25">
        <v>4.0</v>
      </c>
      <c r="G6" s="25">
        <v>8.0</v>
      </c>
      <c r="H6" s="25" t="s">
        <v>56</v>
      </c>
      <c r="I6" s="25" t="s">
        <v>22</v>
      </c>
      <c r="J6" s="25"/>
      <c r="K6" s="25">
        <v>4.0</v>
      </c>
      <c r="L6" s="25">
        <v>8.0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3"/>
    </row>
    <row r="7">
      <c r="A7" s="12">
        <v>2.0</v>
      </c>
      <c r="B7" s="12" t="s">
        <v>60</v>
      </c>
      <c r="C7" s="16" t="s">
        <v>63</v>
      </c>
      <c r="D7" s="17"/>
      <c r="E7" s="17"/>
      <c r="F7" s="17"/>
      <c r="G7" s="17"/>
      <c r="H7" s="17"/>
      <c r="I7" s="17"/>
      <c r="J7" s="14" t="s">
        <v>22</v>
      </c>
      <c r="K7" s="26">
        <f t="shared" ref="K7:L7" si="2">SUM(K8:K13)</f>
        <v>16</v>
      </c>
      <c r="L7" s="26">
        <f t="shared" si="2"/>
        <v>26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3"/>
    </row>
    <row r="8">
      <c r="A8" s="28"/>
      <c r="B8" s="28"/>
      <c r="C8" s="21"/>
      <c r="D8" s="39">
        <v>1512012.0</v>
      </c>
      <c r="E8" s="40" t="s">
        <v>71</v>
      </c>
      <c r="F8" s="25">
        <v>2.0</v>
      </c>
      <c r="G8" s="25">
        <v>3.0</v>
      </c>
      <c r="H8" s="25" t="s">
        <v>47</v>
      </c>
      <c r="I8" s="25" t="s">
        <v>22</v>
      </c>
      <c r="J8" s="25"/>
      <c r="K8" s="25">
        <v>2.0</v>
      </c>
      <c r="L8" s="25">
        <v>3.0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3"/>
    </row>
    <row r="9">
      <c r="A9" s="28"/>
      <c r="B9" s="28"/>
      <c r="D9" s="41"/>
      <c r="E9" s="41"/>
      <c r="F9" s="25">
        <v>2.0</v>
      </c>
      <c r="G9" s="25">
        <v>3.0</v>
      </c>
      <c r="H9" s="25" t="s">
        <v>56</v>
      </c>
      <c r="I9" s="25" t="s">
        <v>22</v>
      </c>
      <c r="J9" s="25"/>
      <c r="K9" s="25">
        <v>2.0</v>
      </c>
      <c r="L9" s="25">
        <v>3.0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3"/>
    </row>
    <row r="10">
      <c r="A10" s="28"/>
      <c r="B10" s="28"/>
      <c r="C10" s="28"/>
      <c r="D10" s="39">
        <v>1160482.0</v>
      </c>
      <c r="E10" s="40" t="s">
        <v>91</v>
      </c>
      <c r="F10" s="25">
        <v>3.0</v>
      </c>
      <c r="G10" s="25">
        <v>5.0</v>
      </c>
      <c r="H10" s="25" t="s">
        <v>34</v>
      </c>
      <c r="I10" s="25" t="s">
        <v>22</v>
      </c>
      <c r="J10" s="25"/>
      <c r="K10" s="25">
        <v>3.0</v>
      </c>
      <c r="L10" s="25">
        <v>5.0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3"/>
    </row>
    <row r="11">
      <c r="A11" s="28"/>
      <c r="B11" s="28"/>
      <c r="C11" s="28"/>
      <c r="D11" s="41"/>
      <c r="E11" s="41"/>
      <c r="F11" s="25">
        <v>3.0</v>
      </c>
      <c r="G11" s="25">
        <v>5.0</v>
      </c>
      <c r="H11" s="25" t="s">
        <v>41</v>
      </c>
      <c r="I11" s="25" t="s">
        <v>22</v>
      </c>
      <c r="J11" s="25"/>
      <c r="K11" s="25">
        <v>3.0</v>
      </c>
      <c r="L11" s="25">
        <v>5.0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3"/>
    </row>
    <row r="12">
      <c r="A12" s="28"/>
      <c r="B12" s="28"/>
      <c r="C12" s="28"/>
      <c r="D12" s="44">
        <v>1532033.0</v>
      </c>
      <c r="E12" s="40" t="s">
        <v>103</v>
      </c>
      <c r="F12" s="25">
        <v>3.0</v>
      </c>
      <c r="G12" s="25">
        <v>5.0</v>
      </c>
      <c r="H12" s="25" t="s">
        <v>34</v>
      </c>
      <c r="I12" s="25" t="s">
        <v>22</v>
      </c>
      <c r="J12" s="25"/>
      <c r="K12" s="25">
        <v>3.0</v>
      </c>
      <c r="L12" s="25">
        <v>5.0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3"/>
    </row>
    <row r="13">
      <c r="A13" s="28"/>
      <c r="B13" s="28"/>
      <c r="C13" s="28"/>
      <c r="D13" s="41"/>
      <c r="E13" s="41"/>
      <c r="F13" s="25">
        <v>3.0</v>
      </c>
      <c r="G13" s="25">
        <v>5.0</v>
      </c>
      <c r="H13" s="25" t="s">
        <v>41</v>
      </c>
      <c r="I13" s="25" t="s">
        <v>22</v>
      </c>
      <c r="J13" s="25"/>
      <c r="K13" s="25">
        <v>3.0</v>
      </c>
      <c r="L13" s="25">
        <v>5.0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3"/>
    </row>
    <row r="14">
      <c r="A14" s="12">
        <v>3.0</v>
      </c>
      <c r="B14" s="12" t="s">
        <v>113</v>
      </c>
      <c r="C14" s="16" t="s">
        <v>117</v>
      </c>
      <c r="D14" s="17"/>
      <c r="E14" s="17"/>
      <c r="F14" s="17"/>
      <c r="G14" s="17"/>
      <c r="H14" s="17"/>
      <c r="I14" s="17"/>
      <c r="J14" s="14" t="s">
        <v>22</v>
      </c>
      <c r="K14" s="26">
        <f t="shared" ref="K14:L14" si="3">SUM(K15:K20)</f>
        <v>14</v>
      </c>
      <c r="L14" s="26">
        <f t="shared" si="3"/>
        <v>20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3"/>
    </row>
    <row r="15">
      <c r="A15" s="28"/>
      <c r="B15" s="28"/>
      <c r="C15" s="21"/>
      <c r="D15" s="39">
        <v>1512043.0</v>
      </c>
      <c r="E15" s="40" t="s">
        <v>124</v>
      </c>
      <c r="F15" s="25">
        <v>3.0</v>
      </c>
      <c r="G15" s="25">
        <v>5.0</v>
      </c>
      <c r="H15" s="25" t="s">
        <v>47</v>
      </c>
      <c r="I15" s="25" t="s">
        <v>22</v>
      </c>
      <c r="J15" s="25"/>
      <c r="K15" s="25">
        <v>2.0</v>
      </c>
      <c r="L15" s="25">
        <v>4.0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3"/>
    </row>
    <row r="16">
      <c r="A16" s="28"/>
      <c r="B16" s="28"/>
      <c r="D16" s="41"/>
      <c r="E16" s="41"/>
      <c r="F16" s="25">
        <v>3.0</v>
      </c>
      <c r="G16" s="25">
        <v>5.0</v>
      </c>
      <c r="H16" s="25" t="s">
        <v>56</v>
      </c>
      <c r="I16" s="25" t="s">
        <v>22</v>
      </c>
      <c r="J16" s="25"/>
      <c r="K16" s="25">
        <v>2.0</v>
      </c>
      <c r="L16" s="25">
        <v>4.0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3"/>
    </row>
    <row r="17">
      <c r="A17" s="28"/>
      <c r="B17" s="28"/>
      <c r="C17" s="28"/>
      <c r="D17" s="39">
        <v>1532023.0</v>
      </c>
      <c r="E17" s="40" t="s">
        <v>132</v>
      </c>
      <c r="F17" s="25">
        <v>3.0</v>
      </c>
      <c r="G17" s="25">
        <v>4.0</v>
      </c>
      <c r="H17" s="25" t="s">
        <v>34</v>
      </c>
      <c r="I17" s="25" t="s">
        <v>22</v>
      </c>
      <c r="J17" s="25"/>
      <c r="K17" s="25">
        <v>3.0</v>
      </c>
      <c r="L17" s="25">
        <v>4.0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3"/>
    </row>
    <row r="18">
      <c r="A18" s="28"/>
      <c r="B18" s="28"/>
      <c r="C18" s="28"/>
      <c r="D18" s="41"/>
      <c r="E18" s="41"/>
      <c r="F18" s="25">
        <v>3.0</v>
      </c>
      <c r="G18" s="25">
        <v>4.0</v>
      </c>
      <c r="H18" s="25" t="s">
        <v>41</v>
      </c>
      <c r="I18" s="25" t="s">
        <v>22</v>
      </c>
      <c r="J18" s="25"/>
      <c r="K18" s="25">
        <v>3.0</v>
      </c>
      <c r="L18" s="25">
        <v>4.0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3"/>
    </row>
    <row r="19">
      <c r="A19" s="28"/>
      <c r="B19" s="28"/>
      <c r="C19" s="28"/>
      <c r="D19" s="39">
        <v>1530062.0</v>
      </c>
      <c r="E19" s="40" t="s">
        <v>143</v>
      </c>
      <c r="F19" s="25">
        <v>2.0</v>
      </c>
      <c r="G19" s="25">
        <v>2.0</v>
      </c>
      <c r="H19" s="25" t="s">
        <v>34</v>
      </c>
      <c r="I19" s="25" t="s">
        <v>22</v>
      </c>
      <c r="J19" s="25"/>
      <c r="K19" s="25">
        <v>2.0</v>
      </c>
      <c r="L19" s="25">
        <v>2.0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3"/>
    </row>
    <row r="20">
      <c r="A20" s="28"/>
      <c r="B20" s="28"/>
      <c r="C20" s="28"/>
      <c r="D20" s="41"/>
      <c r="E20" s="41"/>
      <c r="F20" s="25">
        <v>2.0</v>
      </c>
      <c r="G20" s="25">
        <v>2.0</v>
      </c>
      <c r="H20" s="25" t="s">
        <v>41</v>
      </c>
      <c r="I20" s="25" t="s">
        <v>22</v>
      </c>
      <c r="J20" s="25"/>
      <c r="K20" s="25">
        <v>2.0</v>
      </c>
      <c r="L20" s="25">
        <v>2.0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3"/>
    </row>
    <row r="21" ht="15.75" customHeight="1">
      <c r="A21" s="12">
        <v>4.0</v>
      </c>
      <c r="B21" s="12" t="s">
        <v>151</v>
      </c>
      <c r="C21" s="16" t="s">
        <v>154</v>
      </c>
      <c r="D21" s="17"/>
      <c r="E21" s="17"/>
      <c r="F21" s="17"/>
      <c r="G21" s="17"/>
      <c r="H21" s="17"/>
      <c r="I21" s="17"/>
      <c r="J21" s="14" t="s">
        <v>22</v>
      </c>
      <c r="K21" s="26">
        <f t="shared" ref="K21:L21" si="4">SUM(K22:K27)</f>
        <v>14</v>
      </c>
      <c r="L21" s="26">
        <f t="shared" si="4"/>
        <v>22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3"/>
    </row>
    <row r="22" ht="15.75" customHeight="1">
      <c r="A22" s="28"/>
      <c r="B22" s="28"/>
      <c r="C22" s="21"/>
      <c r="D22" s="39">
        <v>1510052.0</v>
      </c>
      <c r="E22" s="40" t="s">
        <v>161</v>
      </c>
      <c r="F22" s="25">
        <v>2.0</v>
      </c>
      <c r="G22" s="25">
        <v>2.0</v>
      </c>
      <c r="H22" s="25" t="s">
        <v>47</v>
      </c>
      <c r="I22" s="25" t="s">
        <v>22</v>
      </c>
      <c r="J22" s="25"/>
      <c r="K22" s="25">
        <v>2.0</v>
      </c>
      <c r="L22" s="25">
        <v>2.0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3"/>
    </row>
    <row r="23" ht="15.75" customHeight="1">
      <c r="A23" s="28"/>
      <c r="B23" s="28"/>
      <c r="D23" s="41"/>
      <c r="E23" s="41"/>
      <c r="F23" s="25">
        <v>2.0</v>
      </c>
      <c r="G23" s="25">
        <v>2.0</v>
      </c>
      <c r="H23" s="25" t="s">
        <v>56</v>
      </c>
      <c r="I23" s="25" t="s">
        <v>22</v>
      </c>
      <c r="J23" s="25"/>
      <c r="K23" s="25">
        <v>2.0</v>
      </c>
      <c r="L23" s="25">
        <v>2.0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3"/>
    </row>
    <row r="24" ht="15.75" customHeight="1">
      <c r="A24" s="28"/>
      <c r="B24" s="28"/>
      <c r="C24" s="28"/>
      <c r="D24" s="39">
        <v>1532013.0</v>
      </c>
      <c r="E24" s="40" t="s">
        <v>171</v>
      </c>
      <c r="F24" s="25">
        <v>2.0</v>
      </c>
      <c r="G24" s="25">
        <v>4.0</v>
      </c>
      <c r="H24" s="25" t="s">
        <v>34</v>
      </c>
      <c r="I24" s="25" t="s">
        <v>22</v>
      </c>
      <c r="J24" s="25"/>
      <c r="K24" s="25">
        <v>2.0</v>
      </c>
      <c r="L24" s="25">
        <v>4.0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3"/>
    </row>
    <row r="25" ht="15.75" customHeight="1">
      <c r="A25" s="28"/>
      <c r="B25" s="28"/>
      <c r="C25" s="28"/>
      <c r="D25" s="41"/>
      <c r="E25" s="41"/>
      <c r="F25" s="25">
        <v>2.0</v>
      </c>
      <c r="G25" s="25">
        <v>4.0</v>
      </c>
      <c r="H25" s="25" t="s">
        <v>41</v>
      </c>
      <c r="I25" s="25" t="s">
        <v>22</v>
      </c>
      <c r="J25" s="25"/>
      <c r="K25" s="25">
        <v>2.0</v>
      </c>
      <c r="L25" s="25">
        <v>4.0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3"/>
    </row>
    <row r="26" ht="15.75" customHeight="1">
      <c r="A26" s="28"/>
      <c r="B26" s="28"/>
      <c r="C26" s="28"/>
      <c r="D26" s="39">
        <v>1532053.0</v>
      </c>
      <c r="E26" s="40" t="s">
        <v>180</v>
      </c>
      <c r="F26" s="25">
        <v>3.0</v>
      </c>
      <c r="G26" s="25">
        <v>5.0</v>
      </c>
      <c r="H26" s="25" t="s">
        <v>34</v>
      </c>
      <c r="I26" s="25" t="s">
        <v>22</v>
      </c>
      <c r="J26" s="25"/>
      <c r="K26" s="25">
        <v>3.0</v>
      </c>
      <c r="L26" s="25">
        <v>5.0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3"/>
    </row>
    <row r="27" ht="15.75" customHeight="1">
      <c r="A27" s="28"/>
      <c r="B27" s="28"/>
      <c r="C27" s="28"/>
      <c r="D27" s="35"/>
      <c r="E27" s="35"/>
      <c r="F27" s="25">
        <v>3.0</v>
      </c>
      <c r="G27" s="25">
        <v>5.0</v>
      </c>
      <c r="H27" s="25" t="s">
        <v>41</v>
      </c>
      <c r="I27" s="25" t="s">
        <v>22</v>
      </c>
      <c r="J27" s="25"/>
      <c r="K27" s="25">
        <v>3.0</v>
      </c>
      <c r="L27" s="25">
        <v>5.0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3"/>
    </row>
    <row r="28" ht="15.75" customHeight="1">
      <c r="A28" s="12">
        <v>5.0</v>
      </c>
      <c r="B28" s="12" t="s">
        <v>183</v>
      </c>
      <c r="C28" s="56" t="s">
        <v>184</v>
      </c>
      <c r="D28" s="17"/>
      <c r="E28" s="17"/>
      <c r="F28" s="17"/>
      <c r="G28" s="17"/>
      <c r="H28" s="17"/>
      <c r="I28" s="17"/>
      <c r="J28" s="17"/>
      <c r="K28" s="26">
        <f t="shared" ref="K28:L28" si="5">SUM(K29:K30)</f>
        <v>6</v>
      </c>
      <c r="L28" s="26">
        <f t="shared" si="5"/>
        <v>8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3"/>
    </row>
    <row r="29" ht="15.75" customHeight="1">
      <c r="A29" s="28"/>
      <c r="B29" s="28"/>
      <c r="C29" s="21"/>
      <c r="D29" s="59" t="s">
        <v>197</v>
      </c>
      <c r="E29" s="21" t="s">
        <v>198</v>
      </c>
      <c r="F29" s="25">
        <v>3.0</v>
      </c>
      <c r="G29" s="25">
        <v>4.0</v>
      </c>
      <c r="H29" s="25" t="s">
        <v>47</v>
      </c>
      <c r="I29" s="25" t="s">
        <v>22</v>
      </c>
      <c r="J29" s="25"/>
      <c r="K29" s="25">
        <v>3.0</v>
      </c>
      <c r="L29" s="25">
        <v>4.0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3"/>
    </row>
    <row r="30" ht="15.75" customHeight="1">
      <c r="A30" s="28"/>
      <c r="B30" s="28"/>
      <c r="C30" s="28"/>
      <c r="D30" s="35"/>
      <c r="E30" s="35"/>
      <c r="F30" s="25">
        <v>3.0</v>
      </c>
      <c r="G30" s="25">
        <v>4.0</v>
      </c>
      <c r="H30" s="25" t="s">
        <v>56</v>
      </c>
      <c r="I30" s="25" t="s">
        <v>22</v>
      </c>
      <c r="J30" s="25"/>
      <c r="K30" s="25">
        <v>3.0</v>
      </c>
      <c r="L30" s="25">
        <v>4.0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3"/>
    </row>
    <row r="31" ht="15.75" customHeight="1">
      <c r="A31" s="14">
        <v>6.0</v>
      </c>
      <c r="B31" s="12" t="s">
        <v>175</v>
      </c>
      <c r="C31" s="16" t="s">
        <v>176</v>
      </c>
      <c r="D31" s="17"/>
      <c r="E31" s="17"/>
      <c r="F31" s="17"/>
      <c r="G31" s="17"/>
      <c r="H31" s="17"/>
      <c r="I31" s="17"/>
      <c r="J31" s="17"/>
      <c r="K31" s="26">
        <f t="shared" ref="K31:L31" si="6">SUM(K32:K33)</f>
        <v>4</v>
      </c>
      <c r="L31" s="26">
        <f t="shared" si="6"/>
        <v>4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3"/>
    </row>
    <row r="32" ht="15.75" customHeight="1">
      <c r="A32" s="28"/>
      <c r="B32" s="28"/>
      <c r="C32" s="28"/>
      <c r="D32" s="59" t="s">
        <v>205</v>
      </c>
      <c r="E32" s="21" t="s">
        <v>207</v>
      </c>
      <c r="F32" s="25">
        <v>2.0</v>
      </c>
      <c r="G32" s="25">
        <v>2.0</v>
      </c>
      <c r="H32" s="25" t="s">
        <v>47</v>
      </c>
      <c r="I32" s="25" t="s">
        <v>22</v>
      </c>
      <c r="J32" s="25"/>
      <c r="K32" s="25">
        <v>2.0</v>
      </c>
      <c r="L32" s="25">
        <v>2.0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3"/>
    </row>
    <row r="33" ht="15.75" customHeight="1">
      <c r="A33" s="28"/>
      <c r="B33" s="28"/>
      <c r="C33" s="28"/>
      <c r="D33" s="35"/>
      <c r="E33" s="35"/>
      <c r="F33" s="25">
        <v>2.0</v>
      </c>
      <c r="G33" s="25">
        <v>2.0</v>
      </c>
      <c r="H33" s="25" t="s">
        <v>56</v>
      </c>
      <c r="I33" s="25" t="s">
        <v>22</v>
      </c>
      <c r="J33" s="25"/>
      <c r="K33" s="25">
        <v>2.0</v>
      </c>
      <c r="L33" s="25">
        <v>2.0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3"/>
    </row>
    <row r="34" ht="15.75" customHeight="1">
      <c r="A34" s="57">
        <v>7.0</v>
      </c>
      <c r="B34" s="12" t="s">
        <v>216</v>
      </c>
      <c r="C34" s="58" t="s">
        <v>217</v>
      </c>
      <c r="D34" s="17"/>
      <c r="E34" s="17"/>
      <c r="F34" s="17"/>
      <c r="G34" s="17"/>
      <c r="H34" s="17"/>
      <c r="I34" s="17"/>
      <c r="J34" s="17"/>
      <c r="K34" s="26">
        <f t="shared" ref="K34:L34" si="7">SUM(K35:K37)</f>
        <v>4</v>
      </c>
      <c r="L34" s="26">
        <f t="shared" si="7"/>
        <v>8</v>
      </c>
      <c r="M34" s="6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3"/>
    </row>
    <row r="35" ht="15.75" customHeight="1">
      <c r="A35" s="28"/>
      <c r="B35" s="28"/>
      <c r="C35" s="53"/>
      <c r="D35" s="30" t="s">
        <v>185</v>
      </c>
      <c r="E35" s="28" t="s">
        <v>186</v>
      </c>
      <c r="F35" s="54">
        <v>2.0</v>
      </c>
      <c r="G35" s="54">
        <v>2.0</v>
      </c>
      <c r="H35" s="25" t="s">
        <v>47</v>
      </c>
      <c r="I35" s="25" t="s">
        <v>22</v>
      </c>
      <c r="J35" s="25"/>
      <c r="K35" s="54">
        <v>2.0</v>
      </c>
      <c r="L35" s="54">
        <v>2.0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3"/>
    </row>
    <row r="36" ht="15.75" customHeight="1">
      <c r="A36" s="28"/>
      <c r="B36" s="28"/>
      <c r="C36" s="28"/>
      <c r="D36" s="28"/>
      <c r="E36" s="28"/>
      <c r="F36" s="54">
        <v>2.0</v>
      </c>
      <c r="G36" s="54">
        <v>2.0</v>
      </c>
      <c r="H36" s="25" t="s">
        <v>56</v>
      </c>
      <c r="I36" s="25" t="s">
        <v>22</v>
      </c>
      <c r="J36" s="25"/>
      <c r="K36" s="54">
        <v>2.0</v>
      </c>
      <c r="L36" s="54">
        <v>2.0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3"/>
    </row>
    <row r="37" ht="15.75" customHeight="1">
      <c r="A37" s="57">
        <v>8.0</v>
      </c>
      <c r="B37" s="12" t="s">
        <v>226</v>
      </c>
      <c r="C37" s="58" t="s">
        <v>227</v>
      </c>
      <c r="D37" s="17"/>
      <c r="E37" s="17"/>
      <c r="F37" s="17"/>
      <c r="G37" s="17"/>
      <c r="H37" s="17"/>
      <c r="I37" s="17"/>
      <c r="J37" s="17"/>
      <c r="K37" s="26">
        <f t="shared" ref="K37:L37" si="8">SUM(J38:J40)</f>
        <v>0</v>
      </c>
      <c r="L37" s="26">
        <f t="shared" si="8"/>
        <v>4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3"/>
    </row>
    <row r="38" ht="15.75" customHeight="1">
      <c r="A38" s="28"/>
      <c r="B38" s="28"/>
      <c r="C38" s="53"/>
      <c r="D38" s="30" t="s">
        <v>234</v>
      </c>
      <c r="E38" s="28" t="s">
        <v>235</v>
      </c>
      <c r="F38" s="54">
        <v>2.0</v>
      </c>
      <c r="G38" s="54">
        <v>2.0</v>
      </c>
      <c r="H38" s="25" t="s">
        <v>47</v>
      </c>
      <c r="I38" s="25" t="s">
        <v>22</v>
      </c>
      <c r="J38" s="25"/>
      <c r="K38" s="54">
        <v>2.0</v>
      </c>
      <c r="L38" s="54">
        <v>2.0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3"/>
    </row>
    <row r="39" ht="15.75" customHeight="1">
      <c r="A39" s="28"/>
      <c r="B39" s="28"/>
      <c r="C39" s="28"/>
      <c r="D39" s="28"/>
      <c r="E39" s="28"/>
      <c r="F39" s="54">
        <v>2.0</v>
      </c>
      <c r="G39" s="54">
        <v>2.0</v>
      </c>
      <c r="H39" s="25" t="s">
        <v>56</v>
      </c>
      <c r="I39" s="25" t="s">
        <v>22</v>
      </c>
      <c r="J39" s="25"/>
      <c r="K39" s="54">
        <v>2.0</v>
      </c>
      <c r="L39" s="54">
        <v>2.0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3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3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3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3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3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3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3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3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3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3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3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3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3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3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3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3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3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3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3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3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3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3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3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3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3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3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3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3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3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3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3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3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3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3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3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3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3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3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3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3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3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3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3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3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3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3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3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3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3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3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3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3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3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3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3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3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3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3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3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3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3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3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3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3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3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3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3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3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3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3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3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3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3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3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3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3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3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3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3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3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3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3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3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3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3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3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3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3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3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3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3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3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3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3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3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3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3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3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3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3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3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3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3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3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3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3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3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3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3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3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3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3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3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3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3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3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3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3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3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3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3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3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3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3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3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3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3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3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3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3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3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3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3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3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3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3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3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3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3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3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3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3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3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3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3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3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3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3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3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3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3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3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3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3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3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3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3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3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3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3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3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3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3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3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3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3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3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3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3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3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3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3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3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3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3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3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3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3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3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3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3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3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3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3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3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3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3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3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3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3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3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3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3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3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3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3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3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3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3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3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3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8"/>
  </hyperlinks>
  <printOptions/>
  <pageMargins bottom="0.75" footer="0.0" header="0.0" left="0.7" right="0.7" top="0.75"/>
  <pageSetup orientation="landscape"/>
  <drawing r:id="rId2"/>
</worksheet>
</file>