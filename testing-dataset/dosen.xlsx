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kb_p\Downloads\"/>
    </mc:Choice>
  </mc:AlternateContent>
  <xr:revisionPtr revIDLastSave="0" documentId="13_ncr:1_{2753E8C6-392D-49CC-9460-CF88446F6B18}" xr6:coauthVersionLast="47" xr6:coauthVersionMax="47" xr10:uidLastSave="{00000000-0000-0000-0000-000000000000}"/>
  <bookViews>
    <workbookView xWindow="-120" yWindow="-120" windowWidth="29040" windowHeight="15720" activeTab="3" xr2:uid="{801FA43D-ADCF-4CE5-BB75-41989EC9ED8D}"/>
  </bookViews>
  <sheets>
    <sheet name="Sheet1" sheetId="7" r:id="rId1"/>
    <sheet name="Sheet2" sheetId="8" r:id="rId2"/>
    <sheet name="Sheet3" sheetId="5" r:id="rId3"/>
    <sheet name="Sheet4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39" i="8" l="1"/>
  <c r="J139" i="8"/>
  <c r="K137" i="8"/>
  <c r="J137" i="8"/>
  <c r="K135" i="8"/>
  <c r="J135" i="8"/>
  <c r="K133" i="8"/>
  <c r="J133" i="8"/>
  <c r="K131" i="8"/>
  <c r="J131" i="8"/>
  <c r="K129" i="8"/>
  <c r="J129" i="8"/>
  <c r="K127" i="8"/>
  <c r="J127" i="8"/>
  <c r="K125" i="8"/>
  <c r="J125" i="8"/>
  <c r="K123" i="8"/>
  <c r="J123" i="8"/>
  <c r="K119" i="8"/>
  <c r="J119" i="8"/>
  <c r="K115" i="8"/>
  <c r="J115" i="8"/>
  <c r="K113" i="8"/>
  <c r="J113" i="8"/>
  <c r="K105" i="5"/>
  <c r="J105" i="5"/>
  <c r="K109" i="8"/>
  <c r="J109" i="8"/>
  <c r="K107" i="8"/>
  <c r="J107" i="8"/>
  <c r="K105" i="8"/>
  <c r="J105" i="8"/>
  <c r="K101" i="8"/>
  <c r="J101" i="8"/>
  <c r="K97" i="8"/>
  <c r="J97" i="8"/>
  <c r="K93" i="8"/>
  <c r="J93" i="8"/>
  <c r="K89" i="8"/>
  <c r="J89" i="8"/>
  <c r="K73" i="8"/>
  <c r="J73" i="8"/>
  <c r="K69" i="8"/>
  <c r="J69" i="8"/>
  <c r="K61" i="8"/>
  <c r="J61" i="8"/>
  <c r="K51" i="8"/>
  <c r="J51" i="8"/>
  <c r="K40" i="8"/>
  <c r="J40" i="8"/>
  <c r="K32" i="8"/>
  <c r="J32" i="8"/>
  <c r="K22" i="8"/>
  <c r="J22" i="8"/>
  <c r="K14" i="8"/>
  <c r="J14" i="8"/>
  <c r="K2" i="8"/>
  <c r="J2" i="8"/>
  <c r="K43" i="6" l="1"/>
  <c r="K40" i="6" s="1"/>
  <c r="J43" i="6"/>
  <c r="J40" i="6"/>
  <c r="K37" i="6"/>
  <c r="J37" i="6"/>
  <c r="K34" i="6"/>
  <c r="J34" i="6"/>
  <c r="K26" i="6"/>
  <c r="J26" i="6"/>
  <c r="K18" i="6"/>
  <c r="J18" i="6"/>
  <c r="K9" i="6"/>
  <c r="J9" i="6"/>
  <c r="K126" i="5"/>
  <c r="J126" i="5"/>
  <c r="K122" i="5"/>
  <c r="J122" i="5"/>
  <c r="K118" i="5"/>
  <c r="K116" i="5"/>
  <c r="J116" i="5"/>
  <c r="J118" i="5"/>
  <c r="K113" i="5"/>
  <c r="J113" i="5"/>
  <c r="K101" i="5"/>
  <c r="J101" i="5"/>
  <c r="K99" i="5"/>
  <c r="J99" i="5"/>
  <c r="K97" i="5"/>
  <c r="J97" i="5"/>
  <c r="K95" i="5"/>
  <c r="J95" i="5"/>
  <c r="K2" i="6"/>
  <c r="J2" i="6"/>
  <c r="K90" i="5"/>
  <c r="J90" i="5"/>
  <c r="K81" i="5"/>
  <c r="J81" i="5"/>
  <c r="K76" i="5"/>
  <c r="J76" i="5"/>
  <c r="K71" i="5"/>
  <c r="J71" i="5"/>
  <c r="K59" i="5"/>
  <c r="J59" i="5"/>
  <c r="K50" i="5"/>
  <c r="J50" i="5"/>
  <c r="K40" i="5"/>
  <c r="J40" i="5"/>
  <c r="K31" i="5"/>
  <c r="J31" i="5"/>
  <c r="K22" i="5"/>
  <c r="J22" i="5"/>
  <c r="K13" i="5"/>
  <c r="J13" i="5"/>
  <c r="K2" i="5"/>
  <c r="J2" i="5"/>
</calcChain>
</file>

<file path=xl/sharedStrings.xml><?xml version="1.0" encoding="utf-8"?>
<sst xmlns="http://schemas.openxmlformats.org/spreadsheetml/2006/main" count="734" uniqueCount="250">
  <si>
    <t>Kd</t>
  </si>
  <si>
    <t>Kode MK</t>
  </si>
  <si>
    <t>Nama Matakuliah</t>
  </si>
  <si>
    <t>Jml SKS</t>
  </si>
  <si>
    <t>Jml Jam</t>
  </si>
  <si>
    <t>Kelas</t>
  </si>
  <si>
    <t>Prodi</t>
  </si>
  <si>
    <t>Total SKS</t>
  </si>
  <si>
    <t>Total Jam</t>
  </si>
  <si>
    <t>RYD</t>
  </si>
  <si>
    <t>Pemrograman Berorientasi Objek</t>
  </si>
  <si>
    <t>TRM-2A</t>
  </si>
  <si>
    <t>TRM</t>
  </si>
  <si>
    <t>TRM-2B</t>
  </si>
  <si>
    <t>TRM-2C</t>
  </si>
  <si>
    <t>Sistem Basis Data</t>
  </si>
  <si>
    <t>TRM-3A</t>
  </si>
  <si>
    <t>TRM-1A</t>
  </si>
  <si>
    <t>TRM-1B</t>
  </si>
  <si>
    <t>TRM-1C</t>
  </si>
  <si>
    <t>RKS</t>
  </si>
  <si>
    <t>NIDN.</t>
  </si>
  <si>
    <t>No</t>
  </si>
  <si>
    <t>NWA</t>
  </si>
  <si>
    <t>Nur Wachid Adi Prasetya, S.Kom., M.Kom.</t>
  </si>
  <si>
    <t>NIDN. 0015118803</t>
  </si>
  <si>
    <t>NIP. 198811152019031008</t>
  </si>
  <si>
    <t>TRM-3B</t>
  </si>
  <si>
    <t>ISA</t>
  </si>
  <si>
    <t>Isa Bahroni, S.Kom, M.Eng</t>
  </si>
  <si>
    <t>NIDN. 0621116601</t>
  </si>
  <si>
    <t>Kesehatan dan Keselamatan Kerja (K3)</t>
  </si>
  <si>
    <t>NIP. 196611212021211002</t>
  </si>
  <si>
    <t>Broadcasting</t>
  </si>
  <si>
    <t>AGS</t>
  </si>
  <si>
    <t>Agus Susanto, S.Kom., M.Kom.</t>
  </si>
  <si>
    <t>NIDN. 0016099104</t>
  </si>
  <si>
    <t>NIP. 199109162019031013</t>
  </si>
  <si>
    <t>SAN</t>
  </si>
  <si>
    <t>Santi Purwaningrum, S.Kom., M.Kom.</t>
  </si>
  <si>
    <t>NIDN. 0014079303</t>
  </si>
  <si>
    <t>NIP. 199307142019032026</t>
  </si>
  <si>
    <t>Annisa Romadloni, S.Hum., M.A.</t>
  </si>
  <si>
    <t>NIDN. 0014058602</t>
  </si>
  <si>
    <t>NIP. 198605142019032008</t>
  </si>
  <si>
    <t>Nur Muniroh, S.T., M.Kom.</t>
  </si>
  <si>
    <t>NIDN. 0611119202</t>
  </si>
  <si>
    <t>NIP. 199211012025062005</t>
  </si>
  <si>
    <t>Desain UI/UX</t>
  </si>
  <si>
    <t>NUPTK. 5160770671130403</t>
  </si>
  <si>
    <t>NIP. 199208282025061004</t>
  </si>
  <si>
    <t>NIDN. 0614049201</t>
  </si>
  <si>
    <t>Videografi</t>
  </si>
  <si>
    <t>TRPL-1A</t>
  </si>
  <si>
    <t>TRPL</t>
  </si>
  <si>
    <t>TRPL-1B</t>
  </si>
  <si>
    <t>ANT</t>
  </si>
  <si>
    <t>Antonius Agung Hartono, S.T., M.Eng.</t>
  </si>
  <si>
    <t>NIDN. 0615068102</t>
  </si>
  <si>
    <t>NIP. 198106152021211010</t>
  </si>
  <si>
    <t>Kewarganegaraan</t>
  </si>
  <si>
    <t>Kecerdasan Buatan</t>
  </si>
  <si>
    <t>LSF</t>
  </si>
  <si>
    <t>Lutfi Syafirullah, S.T. M.Kom.</t>
  </si>
  <si>
    <t>NIDN. 0621118402</t>
  </si>
  <si>
    <t>NIP. 198411212024211009</t>
  </si>
  <si>
    <t>JPW</t>
  </si>
  <si>
    <t>Joko Purwanto, S.T, M.Kom</t>
  </si>
  <si>
    <t>NIP. 198905182024061002</t>
  </si>
  <si>
    <t>Adlan Nugroho, M.T.I.</t>
  </si>
  <si>
    <t>RKS-1A</t>
  </si>
  <si>
    <t>RKS-1B</t>
  </si>
  <si>
    <t>RKS-1C</t>
  </si>
  <si>
    <t>MZN</t>
  </si>
  <si>
    <t>Mizan Ahmad, S.Si., M.Sc.</t>
  </si>
  <si>
    <t>Bahasa Inggris Teknik</t>
  </si>
  <si>
    <t>Pengantar Teknologi Informasi</t>
  </si>
  <si>
    <t>TRM-3C</t>
  </si>
  <si>
    <t>Pra Produksi Multimedia</t>
  </si>
  <si>
    <t>Video Editing</t>
  </si>
  <si>
    <t>Metodologi Penelitian</t>
  </si>
  <si>
    <t>Menggambar</t>
  </si>
  <si>
    <t>Pemodelan 3D Berbasis Karakter</t>
  </si>
  <si>
    <t>Desain Elementer</t>
  </si>
  <si>
    <t>Tipografi</t>
  </si>
  <si>
    <t>ANS</t>
  </si>
  <si>
    <t>Budaya Visual</t>
  </si>
  <si>
    <t xml:space="preserve">Bahasa Inggris
</t>
  </si>
  <si>
    <t>NM</t>
  </si>
  <si>
    <t>Pengantar Multimedia</t>
  </si>
  <si>
    <t>AMP</t>
  </si>
  <si>
    <t>Angga Maulana Purba, S.Kom.,M.Cs.</t>
  </si>
  <si>
    <t>Pengolahan Citra Digital</t>
  </si>
  <si>
    <t>Praktikum Pengolahan Citra Digital</t>
  </si>
  <si>
    <t>DDY</t>
  </si>
  <si>
    <t>NIP.</t>
  </si>
  <si>
    <t>RBB</t>
  </si>
  <si>
    <t>NIDN. 0610048604</t>
  </si>
  <si>
    <t>Animasi 3D</t>
  </si>
  <si>
    <t>AMF</t>
  </si>
  <si>
    <t>NIDN. 0105049302</t>
  </si>
  <si>
    <t>Audiografi</t>
  </si>
  <si>
    <t>Praktikum Audiografi</t>
  </si>
  <si>
    <t>Pancasila</t>
  </si>
  <si>
    <t>Pemrograman Web</t>
  </si>
  <si>
    <t>TRPL-2A</t>
  </si>
  <si>
    <t>TRPL-2B</t>
  </si>
  <si>
    <t>Algoritma dan Struktur Data</t>
  </si>
  <si>
    <t>Manajemen Proyek Perangkat Lunak</t>
  </si>
  <si>
    <t>Pemrograman Mobile</t>
  </si>
  <si>
    <t>Dasar Pemrograman</t>
  </si>
  <si>
    <t>ADL</t>
  </si>
  <si>
    <t>Analisis dan Desain Sistem</t>
  </si>
  <si>
    <t>Interaksi Manusia dan Komputer</t>
  </si>
  <si>
    <t>Komunikasi Efektif dan Presentasi</t>
  </si>
  <si>
    <t>Keamanan Informasi</t>
  </si>
  <si>
    <t>Matematika Diskrit</t>
  </si>
  <si>
    <t>Ir. Riyadi Purwanto, S.T., M.Eng.</t>
  </si>
  <si>
    <t xml:space="preserve">Rostika Listyaningrum, S.Si., M.Si. </t>
  </si>
  <si>
    <t>ROS</t>
  </si>
  <si>
    <t>Laura Sari, S.Si., M.Sc.</t>
  </si>
  <si>
    <t>LAU</t>
  </si>
  <si>
    <t>Statistik</t>
  </si>
  <si>
    <t>Kukuh Muhammad, M.T.</t>
  </si>
  <si>
    <t>KKH</t>
  </si>
  <si>
    <t>RBT</t>
  </si>
  <si>
    <t>Rahmawan Bagus Trianto, S.Kom, M.Kom.</t>
  </si>
  <si>
    <t>FJM</t>
  </si>
  <si>
    <t>Ir. Fajar Mahardika, S.Kom., M.Kom.</t>
  </si>
  <si>
    <t>Praktikum Pemrograman Berorientasi Objek</t>
  </si>
  <si>
    <t>NWR</t>
  </si>
  <si>
    <t>Nur wahyu Rahadi, S.Kom., M.Eng.</t>
  </si>
  <si>
    <t>AGZ</t>
  </si>
  <si>
    <t xml:space="preserve">Annisa Gatri Zakinah, S.Pd, M.Kom. </t>
  </si>
  <si>
    <t>Aplikasi Komputer</t>
  </si>
  <si>
    <t xml:space="preserve">Ammar Fauzan, M.Kom. </t>
  </si>
  <si>
    <t xml:space="preserve">Raden Bagus Bambang Sumantri, S.T., M.Kom. </t>
  </si>
  <si>
    <t>Dede Yusuf, S.Kom., M.Kom.</t>
  </si>
  <si>
    <t>0000032</t>
  </si>
  <si>
    <t>Pendidikan Pancasila</t>
  </si>
  <si>
    <t>0000042</t>
  </si>
  <si>
    <t>0000052</t>
  </si>
  <si>
    <t>Drs. Wasi Ariyadi, M.M.</t>
  </si>
  <si>
    <t>WAS</t>
  </si>
  <si>
    <t>FHT</t>
  </si>
  <si>
    <t>Farhatun Sa'diyah, S.Sy., M.H.</t>
  </si>
  <si>
    <t>ARS</t>
  </si>
  <si>
    <t>Abdul Rohman Supriyono, S.T., M.Kom.</t>
  </si>
  <si>
    <t>NIDN. 0615058407</t>
  </si>
  <si>
    <t>Administrasi Sistem Komputer dan Jaringan</t>
  </si>
  <si>
    <t>RKS-2A</t>
  </si>
  <si>
    <t>NIP. 198405152024211016</t>
  </si>
  <si>
    <t>RKS-2B</t>
  </si>
  <si>
    <t>RKS-2C</t>
  </si>
  <si>
    <t>Prak. Administrasi Sistem Komputer dan Jaringan</t>
  </si>
  <si>
    <t>Manajemen Risiko TI</t>
  </si>
  <si>
    <t>RKS-4A</t>
  </si>
  <si>
    <t>RKS-4B</t>
  </si>
  <si>
    <t>RKS-4C</t>
  </si>
  <si>
    <t>MNF</t>
  </si>
  <si>
    <t>Muhammad Nur Faiz, S.Kom., M.Kom.</t>
  </si>
  <si>
    <t>NIDN. 0624039301</t>
  </si>
  <si>
    <t>Keamanan Basis Data</t>
  </si>
  <si>
    <t>NIP. 199303242019031011</t>
  </si>
  <si>
    <t>Metode Penelitian</t>
  </si>
  <si>
    <t>Sistem Operasi</t>
  </si>
  <si>
    <t>Audit dan Tata Kelola Keamanan Siber</t>
  </si>
  <si>
    <t>RHM</t>
  </si>
  <si>
    <t>Ratih Hafsarah Maharani, S.Kom., M.Kom.</t>
  </si>
  <si>
    <t>NIDN. 0017098504</t>
  </si>
  <si>
    <t>NIP. 198509172019032015</t>
  </si>
  <si>
    <t>Kriptografi</t>
  </si>
  <si>
    <t>RTH</t>
  </si>
  <si>
    <t>Ratih, S.Kom., M.Kom.</t>
  </si>
  <si>
    <t>Keamanan Perangkat Bergerak</t>
  </si>
  <si>
    <t>RKS-3A</t>
  </si>
  <si>
    <t xml:space="preserve">NIP. 199008132025062002
</t>
  </si>
  <si>
    <t>RKS-3B</t>
  </si>
  <si>
    <t>RKS-3C</t>
  </si>
  <si>
    <t>Pengantar Teknologi Informasi dan Literasi</t>
  </si>
  <si>
    <t>BAP</t>
  </si>
  <si>
    <t>Bella Adinda Putri, M.Kom</t>
  </si>
  <si>
    <t xml:space="preserve">NIP. 199207022025062001
</t>
  </si>
  <si>
    <t>Prak. Audit dan Tata Kelola Keamanan Siber</t>
  </si>
  <si>
    <t>Komunikasi Intrapersonal dan Etika Profesi</t>
  </si>
  <si>
    <t>KNQ</t>
  </si>
  <si>
    <t>Krisna Nuresa Qodri, S.T., M.Eng.</t>
  </si>
  <si>
    <t>Pengujian Perangkat Lunak</t>
  </si>
  <si>
    <t xml:space="preserve">NIP. 199402212025061004
</t>
  </si>
  <si>
    <t>Prak. Pengujian Perangkat Lunak</t>
  </si>
  <si>
    <t>Pengembangan Perangkat Lunak Aman dan DevSecOps</t>
  </si>
  <si>
    <t>STR</t>
  </si>
  <si>
    <t>Satriawan Desmana, S.Kom., M.Kom</t>
  </si>
  <si>
    <t>Keamanan Web dan Cloud</t>
  </si>
  <si>
    <t xml:space="preserve">NIP. 199512152025061002
</t>
  </si>
  <si>
    <t>Sistem Digital</t>
  </si>
  <si>
    <t>TSF</t>
  </si>
  <si>
    <t>Tri Stiyo Famuji, M.Kom. (Dosen UNAIC)</t>
  </si>
  <si>
    <t>NIDN. 0612029402</t>
  </si>
  <si>
    <t>Algoritma Pemrograman</t>
  </si>
  <si>
    <t>KSW</t>
  </si>
  <si>
    <t>Koes Wiyatmoko, M.Kom.</t>
  </si>
  <si>
    <t>Penetrasi Testing</t>
  </si>
  <si>
    <t>Prak. Penetrasi Testing</t>
  </si>
  <si>
    <t>Forensik Digital</t>
  </si>
  <si>
    <t>Prak. Forensik Digital</t>
  </si>
  <si>
    <t>Keamanan Sistem Siber-Fisik</t>
  </si>
  <si>
    <t>Tri Stiyo Famuji, M.Kom.</t>
  </si>
  <si>
    <t>TRI</t>
  </si>
  <si>
    <t>Agama</t>
  </si>
  <si>
    <t>Sri Joko Pamungkas, A.KS., M.Pd.I</t>
  </si>
  <si>
    <t>SJP</t>
  </si>
  <si>
    <t>0000012</t>
  </si>
  <si>
    <t xml:space="preserve">Dr. Winda Dwi Hudhana, M.Pd. </t>
  </si>
  <si>
    <t>Bahasa Indonesia</t>
  </si>
  <si>
    <t>0000022</t>
  </si>
  <si>
    <t>WND</t>
  </si>
  <si>
    <t>Annisa Gatri Zakinah, S.Pd, M.Kom</t>
  </si>
  <si>
    <t>Arsitektur dan Organisasi Komputer</t>
  </si>
  <si>
    <t>ABM</t>
  </si>
  <si>
    <t>Muhammad Abdul Muin, M.Kom</t>
  </si>
  <si>
    <t>Kalkulus</t>
  </si>
  <si>
    <t>ADS</t>
  </si>
  <si>
    <t>Andesita Prihantara, S.T., M.Eng.</t>
  </si>
  <si>
    <t>Bahasa Inggris</t>
  </si>
  <si>
    <t>GNI</t>
  </si>
  <si>
    <t>Ganjar Ndaru Ikhtiagung, S.E., M.M.</t>
  </si>
  <si>
    <t>Kewirausahaan</t>
  </si>
  <si>
    <t>0000062</t>
  </si>
  <si>
    <t>AAE</t>
  </si>
  <si>
    <t>Alfarisi Akbar Efendi, S.E., M.Akt.</t>
  </si>
  <si>
    <t>Kepemimpinan dan Manajemen Proyek</t>
  </si>
  <si>
    <t>SP</t>
  </si>
  <si>
    <t>Septi Purwaningsih, S.E., M.Ak.</t>
  </si>
  <si>
    <t>Manajemen Bisnis</t>
  </si>
  <si>
    <t>DAK</t>
  </si>
  <si>
    <t>Dyah Ayumurni Kartikasari, S.Ak., M.Ak.</t>
  </si>
  <si>
    <t>Prak. Manajemen Bisnis</t>
  </si>
  <si>
    <t>DHS</t>
  </si>
  <si>
    <t>Dheti Septiana, S.E., M.Ak.</t>
  </si>
  <si>
    <t>SAP</t>
  </si>
  <si>
    <t>Sasongko Adi Priyanto, S.E., M.Ak.</t>
  </si>
  <si>
    <t>NMJ</t>
  </si>
  <si>
    <t>Nurul Maghfirotul Jannah S.Ak., M.Ak.</t>
  </si>
  <si>
    <t>HFP</t>
  </si>
  <si>
    <t>Haikal Firmansah Anas Pratama, S.Pd., M.Sc.</t>
  </si>
  <si>
    <t>LOD</t>
  </si>
  <si>
    <t>Lodis Ramadhan, S.Ak., M.Ak.</t>
  </si>
  <si>
    <t>FS</t>
  </si>
  <si>
    <t>Fredi Setyono, S.E., M.E.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</si>
</sst>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3">
    <xf numFmtId="0" fontId="0" fillId="0" borderId="0" xfId="0"/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vertical="center"/>
    </xf>
    <xf numFmtId="0" fontId="0" fillId="3" borderId="1" xfId="0" applyFill="1" applyBorder="1" applyAlignment="1">
      <alignment wrapText="1"/>
    </xf>
    <xf numFmtId="0" fontId="6" fillId="3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4" borderId="0" xfId="0" applyFont="1" applyFill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1" fillId="3" borderId="1" xfId="1" applyFill="1" applyBorder="1" applyAlignment="1">
      <alignment wrapText="1"/>
    </xf>
    <xf numFmtId="0" fontId="5" fillId="3" borderId="1" xfId="0" applyFont="1" applyFill="1" applyBorder="1" applyAlignment="1">
      <alignment horizontal="left" wrapText="1"/>
    </xf>
    <xf numFmtId="0" fontId="0" fillId="5" borderId="1" xfId="0" applyFill="1" applyBorder="1" applyAlignment="1">
      <alignment wrapText="1"/>
    </xf>
    <xf numFmtId="0" fontId="0" fillId="5" borderId="0" xfId="0" applyFill="1" applyAlignment="1">
      <alignment wrapText="1"/>
    </xf>
    <xf numFmtId="0" fontId="3" fillId="5" borderId="1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wrapText="1"/>
    </xf>
    <xf numFmtId="0" fontId="3" fillId="5" borderId="1" xfId="0" applyFont="1" applyFill="1" applyBorder="1" applyAlignment="1">
      <alignment horizontal="right" wrapText="1"/>
    </xf>
    <xf numFmtId="0" fontId="0" fillId="5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7" fillId="2" borderId="1" xfId="0" applyFont="1" applyFill="1" applyBorder="1" applyAlignment="1">
      <alignment wrapText="1"/>
    </xf>
    <xf numFmtId="0" fontId="5" fillId="0" borderId="0" xfId="0" applyFont="1"/>
    <xf numFmtId="0" fontId="8" fillId="0" borderId="1" xfId="0" applyFont="1" applyBorder="1" applyAlignment="1">
      <alignment horizontal="center" wrapText="1"/>
    </xf>
    <xf numFmtId="0" fontId="5" fillId="0" borderId="1" xfId="0" applyFont="1" applyBorder="1"/>
    <xf numFmtId="0" fontId="5" fillId="5" borderId="1" xfId="0" applyFont="1" applyFill="1" applyBorder="1" applyAlignment="1">
      <alignment wrapText="1"/>
    </xf>
    <xf numFmtId="0" fontId="5" fillId="0" borderId="1" xfId="0" quotePrefix="1" applyFont="1" applyBorder="1" applyAlignment="1">
      <alignment horizontal="center" wrapText="1"/>
    </xf>
    <xf numFmtId="0" fontId="0" fillId="0" borderId="1" xfId="0" quotePrefix="1" applyBorder="1" applyAlignment="1">
      <alignment horizontal="center" wrapText="1"/>
    </xf>
    <xf numFmtId="0" fontId="5" fillId="4" borderId="1" xfId="0" quotePrefix="1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wrapText="1"/>
    </xf>
    <xf numFmtId="0" fontId="0" fillId="0" borderId="1" xfId="0" applyBorder="1"/>
    <xf numFmtId="0" fontId="5" fillId="0" borderId="2" xfId="0" applyFont="1" applyBorder="1" applyAlignment="1">
      <alignment wrapText="1"/>
    </xf>
    <xf numFmtId="0" fontId="5" fillId="0" borderId="2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5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m.sc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E60D9-194D-4301-A483-78F426F8EAA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6E519-37CB-4945-AD9D-0A64895CF790}">
  <dimension ref="A1:K140"/>
  <sheetViews>
    <sheetView topLeftCell="A88" zoomScale="85" zoomScaleNormal="85" workbookViewId="0">
      <selection activeCell="E130" sqref="E130"/>
    </sheetView>
  </sheetViews>
  <sheetFormatPr defaultRowHeight="15" x14ac:dyDescent="0.25"/>
  <cols>
    <col min="2" max="2" width="9.140625" customWidth="1"/>
    <col min="3" max="3" width="37.42578125" customWidth="1"/>
    <col min="5" max="5" width="28.140625" customWidth="1"/>
    <col min="10" max="10" width="10.7109375" bestFit="1" customWidth="1"/>
  </cols>
  <sheetData>
    <row r="1" spans="1:11" ht="42" x14ac:dyDescent="0.35">
      <c r="A1" s="40" t="s">
        <v>22</v>
      </c>
      <c r="B1" s="40" t="s">
        <v>0</v>
      </c>
      <c r="C1" s="40" t="s">
        <v>1</v>
      </c>
      <c r="D1" s="40" t="s">
        <v>1</v>
      </c>
      <c r="E1" s="40" t="s">
        <v>2</v>
      </c>
      <c r="F1" s="40" t="s">
        <v>3</v>
      </c>
      <c r="G1" s="40" t="s">
        <v>4</v>
      </c>
      <c r="H1" s="40" t="s">
        <v>5</v>
      </c>
      <c r="I1" s="40" t="s">
        <v>6</v>
      </c>
      <c r="J1" s="40" t="s">
        <v>7</v>
      </c>
      <c r="K1" s="40" t="s">
        <v>8</v>
      </c>
    </row>
    <row r="2" spans="1:11" ht="32.25" x14ac:dyDescent="0.4">
      <c r="A2" s="31">
        <v>1</v>
      </c>
      <c r="B2" s="31" t="s">
        <v>146</v>
      </c>
      <c r="C2" s="3" t="s">
        <v>147</v>
      </c>
      <c r="D2" s="3"/>
      <c r="E2" s="3"/>
      <c r="F2" s="3"/>
      <c r="G2" s="3"/>
      <c r="H2" s="3"/>
      <c r="I2" s="3"/>
      <c r="J2" s="21">
        <f>SUM(J3:J11)</f>
        <v>18</v>
      </c>
      <c r="K2" s="21">
        <f>SUM(K3:K11)</f>
        <v>24</v>
      </c>
    </row>
    <row r="3" spans="1:11" ht="30" x14ac:dyDescent="0.25">
      <c r="A3" s="5"/>
      <c r="B3" s="5"/>
      <c r="C3" s="5" t="s">
        <v>148</v>
      </c>
      <c r="D3" s="10">
        <v>930182</v>
      </c>
      <c r="E3" s="5" t="s">
        <v>149</v>
      </c>
      <c r="F3" s="10">
        <v>2</v>
      </c>
      <c r="G3" s="10">
        <v>2</v>
      </c>
      <c r="H3" s="10" t="s">
        <v>150</v>
      </c>
      <c r="I3" s="10" t="s">
        <v>20</v>
      </c>
      <c r="J3" s="10">
        <v>2</v>
      </c>
      <c r="K3" s="10">
        <v>2</v>
      </c>
    </row>
    <row r="4" spans="1:11" x14ac:dyDescent="0.25">
      <c r="A4" s="5"/>
      <c r="B4" s="5"/>
      <c r="C4" s="5" t="s">
        <v>151</v>
      </c>
      <c r="D4" s="5"/>
      <c r="E4" s="5"/>
      <c r="F4" s="10">
        <v>2</v>
      </c>
      <c r="G4" s="10">
        <v>2</v>
      </c>
      <c r="H4" s="10" t="s">
        <v>152</v>
      </c>
      <c r="I4" s="10" t="s">
        <v>20</v>
      </c>
      <c r="J4" s="10">
        <v>2</v>
      </c>
      <c r="K4" s="10">
        <v>2</v>
      </c>
    </row>
    <row r="5" spans="1:11" x14ac:dyDescent="0.25">
      <c r="A5" s="5"/>
      <c r="B5" s="5"/>
      <c r="C5" s="5"/>
      <c r="D5" s="5"/>
      <c r="E5" s="5"/>
      <c r="F5" s="10">
        <v>2</v>
      </c>
      <c r="G5" s="10">
        <v>2</v>
      </c>
      <c r="H5" s="10" t="s">
        <v>153</v>
      </c>
      <c r="I5" s="10" t="s">
        <v>20</v>
      </c>
      <c r="J5" s="10">
        <v>2</v>
      </c>
      <c r="K5" s="10">
        <v>2</v>
      </c>
    </row>
    <row r="6" spans="1:11" ht="30" x14ac:dyDescent="0.25">
      <c r="A6" s="5"/>
      <c r="B6" s="5"/>
      <c r="C6" s="41"/>
      <c r="D6" s="10">
        <v>931222</v>
      </c>
      <c r="E6" s="5" t="s">
        <v>154</v>
      </c>
      <c r="F6" s="10">
        <v>2</v>
      </c>
      <c r="G6" s="10">
        <v>4</v>
      </c>
      <c r="H6" s="10" t="s">
        <v>150</v>
      </c>
      <c r="I6" s="10" t="s">
        <v>20</v>
      </c>
      <c r="J6" s="10">
        <v>2</v>
      </c>
      <c r="K6" s="10">
        <v>4</v>
      </c>
    </row>
    <row r="7" spans="1:11" x14ac:dyDescent="0.25">
      <c r="A7" s="5"/>
      <c r="B7" s="5"/>
      <c r="C7" s="5"/>
      <c r="D7" s="5"/>
      <c r="E7" s="5"/>
      <c r="F7" s="10">
        <v>2</v>
      </c>
      <c r="G7" s="10">
        <v>4</v>
      </c>
      <c r="H7" s="10" t="s">
        <v>152</v>
      </c>
      <c r="I7" s="10" t="s">
        <v>20</v>
      </c>
      <c r="J7" s="10">
        <v>2</v>
      </c>
      <c r="K7" s="10">
        <v>4</v>
      </c>
    </row>
    <row r="8" spans="1:11" x14ac:dyDescent="0.25">
      <c r="A8" s="5"/>
      <c r="B8" s="5"/>
      <c r="C8" s="5"/>
      <c r="D8" s="5"/>
      <c r="E8" s="5"/>
      <c r="F8" s="10">
        <v>2</v>
      </c>
      <c r="G8" s="10">
        <v>4</v>
      </c>
      <c r="H8" s="10" t="s">
        <v>153</v>
      </c>
      <c r="I8" s="10" t="s">
        <v>20</v>
      </c>
      <c r="J8" s="10">
        <v>2</v>
      </c>
      <c r="K8" s="10">
        <v>4</v>
      </c>
    </row>
    <row r="9" spans="1:11" x14ac:dyDescent="0.25">
      <c r="A9" s="5"/>
      <c r="B9" s="5"/>
      <c r="C9" s="5"/>
      <c r="D9" s="42">
        <v>970482</v>
      </c>
      <c r="E9" s="11" t="s">
        <v>155</v>
      </c>
      <c r="F9" s="42">
        <v>2</v>
      </c>
      <c r="G9" s="42">
        <v>2</v>
      </c>
      <c r="H9" s="10" t="s">
        <v>156</v>
      </c>
      <c r="I9" s="42" t="s">
        <v>20</v>
      </c>
      <c r="J9" s="42">
        <v>2</v>
      </c>
      <c r="K9" s="42">
        <v>2</v>
      </c>
    </row>
    <row r="10" spans="1:11" x14ac:dyDescent="0.25">
      <c r="A10" s="5"/>
      <c r="B10" s="5"/>
      <c r="C10" s="5"/>
      <c r="D10" s="5"/>
      <c r="E10" s="5"/>
      <c r="F10" s="42">
        <v>2</v>
      </c>
      <c r="G10" s="42">
        <v>2</v>
      </c>
      <c r="H10" s="10" t="s">
        <v>157</v>
      </c>
      <c r="I10" s="42" t="s">
        <v>20</v>
      </c>
      <c r="J10" s="42">
        <v>2</v>
      </c>
      <c r="K10" s="42">
        <v>2</v>
      </c>
    </row>
    <row r="11" spans="1:11" x14ac:dyDescent="0.25">
      <c r="A11" s="5"/>
      <c r="B11" s="5"/>
      <c r="C11" s="5"/>
      <c r="D11" s="5"/>
      <c r="E11" s="5"/>
      <c r="F11" s="42">
        <v>2</v>
      </c>
      <c r="G11" s="42">
        <v>2</v>
      </c>
      <c r="H11" s="10" t="s">
        <v>158</v>
      </c>
      <c r="I11" s="42" t="s">
        <v>20</v>
      </c>
      <c r="J11" s="42">
        <v>2</v>
      </c>
      <c r="K11" s="42">
        <v>2</v>
      </c>
    </row>
    <row r="12" spans="1:1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32.25" x14ac:dyDescent="0.4">
      <c r="A14" s="31">
        <v>2</v>
      </c>
      <c r="B14" s="31" t="s">
        <v>159</v>
      </c>
      <c r="C14" s="3" t="s">
        <v>160</v>
      </c>
      <c r="D14" s="3"/>
      <c r="E14" s="3"/>
      <c r="F14" s="3"/>
      <c r="G14" s="3"/>
      <c r="H14" s="3"/>
      <c r="I14" s="3"/>
      <c r="J14" s="21">
        <f>SUM(J15:J19)</f>
        <v>15</v>
      </c>
      <c r="K14" s="21">
        <f>SUM(K15:K19)</f>
        <v>23</v>
      </c>
    </row>
    <row r="15" spans="1:11" x14ac:dyDescent="0.25">
      <c r="A15" s="5"/>
      <c r="B15" s="5"/>
      <c r="C15" s="5" t="s">
        <v>161</v>
      </c>
      <c r="D15" s="42">
        <v>932174</v>
      </c>
      <c r="E15" s="11" t="s">
        <v>162</v>
      </c>
      <c r="F15" s="42">
        <v>1</v>
      </c>
      <c r="G15" s="42">
        <v>5</v>
      </c>
      <c r="H15" s="10" t="s">
        <v>150</v>
      </c>
      <c r="I15" s="42" t="s">
        <v>20</v>
      </c>
      <c r="J15" s="42">
        <v>3</v>
      </c>
      <c r="K15" s="42">
        <v>5</v>
      </c>
    </row>
    <row r="16" spans="1:11" x14ac:dyDescent="0.25">
      <c r="A16" s="5"/>
      <c r="B16" s="5"/>
      <c r="C16" s="5" t="s">
        <v>163</v>
      </c>
      <c r="D16" s="11"/>
      <c r="E16" s="11"/>
      <c r="F16" s="42">
        <v>1</v>
      </c>
      <c r="G16" s="42">
        <v>5</v>
      </c>
      <c r="H16" s="10" t="s">
        <v>152</v>
      </c>
      <c r="I16" s="42" t="s">
        <v>20</v>
      </c>
      <c r="J16" s="42">
        <v>3</v>
      </c>
      <c r="K16" s="42">
        <v>5</v>
      </c>
    </row>
    <row r="17" spans="1:11" x14ac:dyDescent="0.25">
      <c r="A17" s="5"/>
      <c r="B17" s="5"/>
      <c r="C17" s="5"/>
      <c r="D17" s="11"/>
      <c r="E17" s="11"/>
      <c r="F17" s="42">
        <v>1</v>
      </c>
      <c r="G17" s="42">
        <v>5</v>
      </c>
      <c r="H17" s="10" t="s">
        <v>153</v>
      </c>
      <c r="I17" s="42" t="s">
        <v>20</v>
      </c>
      <c r="J17" s="42">
        <v>3</v>
      </c>
      <c r="K17" s="42">
        <v>5</v>
      </c>
    </row>
    <row r="18" spans="1:11" x14ac:dyDescent="0.25">
      <c r="A18" s="5"/>
      <c r="B18" s="5"/>
      <c r="C18" s="41"/>
      <c r="D18" s="42">
        <v>970492</v>
      </c>
      <c r="E18" s="11" t="s">
        <v>164</v>
      </c>
      <c r="F18" s="42">
        <v>3</v>
      </c>
      <c r="G18" s="42">
        <v>3</v>
      </c>
      <c r="H18" s="10" t="s">
        <v>158</v>
      </c>
      <c r="I18" s="42" t="s">
        <v>20</v>
      </c>
      <c r="J18" s="42">
        <v>3</v>
      </c>
      <c r="K18" s="42">
        <v>3</v>
      </c>
    </row>
    <row r="19" spans="1:11" x14ac:dyDescent="0.25">
      <c r="A19" s="5"/>
      <c r="B19" s="5"/>
      <c r="C19" s="5"/>
      <c r="D19" s="10">
        <v>912063</v>
      </c>
      <c r="E19" s="5" t="s">
        <v>165</v>
      </c>
      <c r="F19" s="42">
        <v>1</v>
      </c>
      <c r="G19" s="42">
        <v>5</v>
      </c>
      <c r="H19" s="10" t="s">
        <v>72</v>
      </c>
      <c r="I19" s="42" t="s">
        <v>20</v>
      </c>
      <c r="J19" s="42">
        <v>3</v>
      </c>
      <c r="K19" s="42">
        <v>5</v>
      </c>
    </row>
    <row r="20" spans="1:11" x14ac:dyDescent="0.25">
      <c r="A20" s="5"/>
      <c r="B20" s="5"/>
      <c r="C20" s="5"/>
      <c r="D20" s="11"/>
      <c r="E20" s="11"/>
      <c r="F20" s="11"/>
      <c r="G20" s="11"/>
      <c r="H20" s="5"/>
      <c r="I20" s="5"/>
      <c r="J20" s="5"/>
      <c r="K20" s="5"/>
    </row>
    <row r="21" spans="1:11" x14ac:dyDescent="0.25">
      <c r="A21" s="5"/>
      <c r="B21" s="5"/>
      <c r="C21" s="5"/>
      <c r="D21" s="11"/>
      <c r="E21" s="11"/>
      <c r="F21" s="11"/>
      <c r="G21" s="11"/>
      <c r="H21" s="5"/>
      <c r="I21" s="5"/>
      <c r="J21" s="5"/>
      <c r="K21" s="5"/>
    </row>
    <row r="22" spans="1:11" ht="32.25" x14ac:dyDescent="0.4">
      <c r="A22" s="31">
        <v>3</v>
      </c>
      <c r="B22" s="31" t="s">
        <v>167</v>
      </c>
      <c r="C22" s="3" t="s">
        <v>168</v>
      </c>
      <c r="D22" s="3"/>
      <c r="E22" s="3"/>
      <c r="F22" s="3"/>
      <c r="G22" s="3"/>
      <c r="H22" s="3"/>
      <c r="I22" s="3"/>
      <c r="J22" s="21">
        <f>SUM(J23:J29)</f>
        <v>18</v>
      </c>
      <c r="K22" s="21">
        <f>SUM(K23:K29)</f>
        <v>20</v>
      </c>
    </row>
    <row r="23" spans="1:11" x14ac:dyDescent="0.25">
      <c r="A23" s="5"/>
      <c r="B23" s="5"/>
      <c r="C23" s="5" t="s">
        <v>169</v>
      </c>
      <c r="D23" s="42">
        <v>970492</v>
      </c>
      <c r="E23" s="11" t="s">
        <v>164</v>
      </c>
      <c r="F23" s="42">
        <v>3</v>
      </c>
      <c r="G23" s="42">
        <v>3</v>
      </c>
      <c r="H23" s="10" t="s">
        <v>156</v>
      </c>
      <c r="I23" s="42" t="s">
        <v>20</v>
      </c>
      <c r="J23" s="42">
        <v>3</v>
      </c>
      <c r="K23" s="42">
        <v>3</v>
      </c>
    </row>
    <row r="24" spans="1:11" x14ac:dyDescent="0.25">
      <c r="A24" s="5"/>
      <c r="B24" s="5"/>
      <c r="C24" s="5"/>
      <c r="D24" s="11"/>
      <c r="E24" s="11"/>
      <c r="F24" s="42">
        <v>3</v>
      </c>
      <c r="G24" s="42">
        <v>3</v>
      </c>
      <c r="H24" s="10" t="s">
        <v>157</v>
      </c>
      <c r="I24" s="42" t="s">
        <v>20</v>
      </c>
      <c r="J24" s="42">
        <v>3</v>
      </c>
      <c r="K24" s="42">
        <v>3</v>
      </c>
    </row>
    <row r="25" spans="1:11" x14ac:dyDescent="0.25">
      <c r="A25" s="5"/>
      <c r="B25" s="5"/>
      <c r="C25" s="5"/>
      <c r="D25" s="11"/>
      <c r="E25" s="11"/>
      <c r="F25" s="11"/>
      <c r="G25" s="11"/>
      <c r="H25" s="5"/>
      <c r="I25" s="11"/>
      <c r="J25" s="11"/>
      <c r="K25" s="11"/>
    </row>
    <row r="26" spans="1:11" x14ac:dyDescent="0.25">
      <c r="A26" s="5"/>
      <c r="B26" s="5"/>
      <c r="C26" s="5" t="s">
        <v>170</v>
      </c>
      <c r="D26" s="42">
        <v>930203</v>
      </c>
      <c r="E26" s="11" t="s">
        <v>171</v>
      </c>
      <c r="F26" s="42">
        <v>3</v>
      </c>
      <c r="G26" s="42">
        <v>3</v>
      </c>
      <c r="H26" s="10" t="s">
        <v>150</v>
      </c>
      <c r="I26" s="42" t="s">
        <v>20</v>
      </c>
      <c r="J26" s="42">
        <v>3</v>
      </c>
      <c r="K26" s="42">
        <v>3</v>
      </c>
    </row>
    <row r="27" spans="1:11" x14ac:dyDescent="0.25">
      <c r="A27" s="5"/>
      <c r="B27" s="5"/>
      <c r="C27" s="41"/>
      <c r="D27" s="11"/>
      <c r="E27" s="11"/>
      <c r="F27" s="42">
        <v>3</v>
      </c>
      <c r="G27" s="42">
        <v>3</v>
      </c>
      <c r="H27" s="10" t="s">
        <v>152</v>
      </c>
      <c r="I27" s="42" t="s">
        <v>20</v>
      </c>
      <c r="J27" s="42">
        <v>3</v>
      </c>
      <c r="K27" s="42">
        <v>3</v>
      </c>
    </row>
    <row r="28" spans="1:11" x14ac:dyDescent="0.25">
      <c r="A28" s="5"/>
      <c r="B28" s="5"/>
      <c r="C28" s="5"/>
      <c r="D28" s="11"/>
      <c r="E28" s="11"/>
      <c r="F28" s="42">
        <v>3</v>
      </c>
      <c r="G28" s="42">
        <v>3</v>
      </c>
      <c r="H28" s="10" t="s">
        <v>153</v>
      </c>
      <c r="I28" s="42" t="s">
        <v>20</v>
      </c>
      <c r="J28" s="42">
        <v>3</v>
      </c>
      <c r="K28" s="42">
        <v>3</v>
      </c>
    </row>
    <row r="29" spans="1:11" x14ac:dyDescent="0.25">
      <c r="A29" s="5"/>
      <c r="B29" s="5"/>
      <c r="C29" s="5"/>
      <c r="D29" s="10">
        <v>912063</v>
      </c>
      <c r="E29" s="5" t="s">
        <v>165</v>
      </c>
      <c r="F29" s="42">
        <v>3</v>
      </c>
      <c r="G29" s="42">
        <v>5</v>
      </c>
      <c r="H29" s="10" t="s">
        <v>71</v>
      </c>
      <c r="I29" s="42" t="s">
        <v>20</v>
      </c>
      <c r="J29" s="42">
        <v>3</v>
      </c>
      <c r="K29" s="42">
        <v>5</v>
      </c>
    </row>
    <row r="30" spans="1:1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26.25" x14ac:dyDescent="0.4">
      <c r="A32" s="31">
        <v>4</v>
      </c>
      <c r="B32" s="31" t="s">
        <v>172</v>
      </c>
      <c r="C32" s="3" t="s">
        <v>173</v>
      </c>
      <c r="D32" s="3"/>
      <c r="E32" s="3"/>
      <c r="F32" s="3"/>
      <c r="G32" s="3"/>
      <c r="H32" s="3"/>
      <c r="I32" s="3"/>
      <c r="J32" s="21">
        <f>SUM(J33:J38)</f>
        <v>15</v>
      </c>
      <c r="K32" s="21">
        <f>SUM(K33:K38)</f>
        <v>18</v>
      </c>
    </row>
    <row r="33" spans="1:11" ht="30" x14ac:dyDescent="0.25">
      <c r="A33" s="5"/>
      <c r="B33" s="5"/>
      <c r="C33" s="5" t="s">
        <v>21</v>
      </c>
      <c r="D33" s="42">
        <v>950372</v>
      </c>
      <c r="E33" s="11" t="s">
        <v>174</v>
      </c>
      <c r="F33" s="42">
        <v>2</v>
      </c>
      <c r="G33" s="42">
        <v>2</v>
      </c>
      <c r="H33" s="10" t="s">
        <v>175</v>
      </c>
      <c r="I33" s="42" t="s">
        <v>20</v>
      </c>
      <c r="J33" s="42">
        <v>2</v>
      </c>
      <c r="K33" s="42">
        <v>2</v>
      </c>
    </row>
    <row r="34" spans="1:11" ht="30" x14ac:dyDescent="0.25">
      <c r="A34" s="5"/>
      <c r="B34" s="5"/>
      <c r="C34" s="5" t="s">
        <v>176</v>
      </c>
      <c r="D34" s="11"/>
      <c r="E34" s="11"/>
      <c r="F34" s="42">
        <v>2</v>
      </c>
      <c r="G34" s="42">
        <v>2</v>
      </c>
      <c r="H34" s="10" t="s">
        <v>177</v>
      </c>
      <c r="I34" s="42" t="s">
        <v>20</v>
      </c>
      <c r="J34" s="42">
        <v>2</v>
      </c>
      <c r="K34" s="42">
        <v>2</v>
      </c>
    </row>
    <row r="35" spans="1:11" x14ac:dyDescent="0.25">
      <c r="A35" s="5"/>
      <c r="B35" s="5"/>
      <c r="C35" s="41"/>
      <c r="D35" s="11"/>
      <c r="E35" s="11"/>
      <c r="F35" s="42">
        <v>2</v>
      </c>
      <c r="G35" s="42">
        <v>2</v>
      </c>
      <c r="H35" s="10" t="s">
        <v>178</v>
      </c>
      <c r="I35" s="42" t="s">
        <v>20</v>
      </c>
      <c r="J35" s="42">
        <v>2</v>
      </c>
      <c r="K35" s="42">
        <v>2</v>
      </c>
    </row>
    <row r="36" spans="1:11" ht="30" x14ac:dyDescent="0.25">
      <c r="A36" s="5"/>
      <c r="B36" s="5"/>
      <c r="C36" s="5"/>
      <c r="D36" s="42">
        <v>912043</v>
      </c>
      <c r="E36" s="11" t="s">
        <v>179</v>
      </c>
      <c r="F36" s="42">
        <v>3</v>
      </c>
      <c r="G36" s="42">
        <v>4</v>
      </c>
      <c r="H36" s="10" t="s">
        <v>70</v>
      </c>
      <c r="I36" s="42" t="s">
        <v>20</v>
      </c>
      <c r="J36" s="42">
        <v>3</v>
      </c>
      <c r="K36" s="42">
        <v>4</v>
      </c>
    </row>
    <row r="37" spans="1:11" x14ac:dyDescent="0.25">
      <c r="A37" s="5"/>
      <c r="B37" s="5"/>
      <c r="C37" s="5"/>
      <c r="D37" s="11"/>
      <c r="E37" s="11"/>
      <c r="F37" s="42">
        <v>3</v>
      </c>
      <c r="G37" s="42">
        <v>4</v>
      </c>
      <c r="H37" s="10" t="s">
        <v>71</v>
      </c>
      <c r="I37" s="42" t="s">
        <v>20</v>
      </c>
      <c r="J37" s="42">
        <v>3</v>
      </c>
      <c r="K37" s="42">
        <v>4</v>
      </c>
    </row>
    <row r="38" spans="1:11" x14ac:dyDescent="0.25">
      <c r="A38" s="5"/>
      <c r="B38" s="5"/>
      <c r="C38" s="5"/>
      <c r="D38" s="5"/>
      <c r="E38" s="5"/>
      <c r="F38" s="42">
        <v>3</v>
      </c>
      <c r="G38" s="10">
        <v>4</v>
      </c>
      <c r="H38" s="10" t="s">
        <v>72</v>
      </c>
      <c r="I38" s="42" t="s">
        <v>20</v>
      </c>
      <c r="J38" s="42">
        <v>3</v>
      </c>
      <c r="K38" s="42">
        <v>4</v>
      </c>
    </row>
    <row r="39" spans="1:1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26.25" x14ac:dyDescent="0.4">
      <c r="A40" s="31">
        <v>5</v>
      </c>
      <c r="B40" s="31" t="s">
        <v>180</v>
      </c>
      <c r="C40" s="3" t="s">
        <v>181</v>
      </c>
      <c r="D40" s="3"/>
      <c r="E40" s="3"/>
      <c r="F40" s="3"/>
      <c r="G40" s="3"/>
      <c r="H40" s="3"/>
      <c r="I40" s="3"/>
      <c r="J40" s="21">
        <f>SUM(J41:J49)</f>
        <v>18</v>
      </c>
      <c r="K40" s="21">
        <f>SUM(K41:K49)</f>
        <v>24</v>
      </c>
    </row>
    <row r="41" spans="1:11" ht="30" x14ac:dyDescent="0.25">
      <c r="A41" s="5"/>
      <c r="B41" s="5"/>
      <c r="C41" s="5" t="s">
        <v>21</v>
      </c>
      <c r="D41" s="42">
        <v>970462</v>
      </c>
      <c r="E41" s="11" t="s">
        <v>166</v>
      </c>
      <c r="F41" s="42">
        <v>2</v>
      </c>
      <c r="G41" s="42">
        <v>2</v>
      </c>
      <c r="H41" s="10" t="s">
        <v>156</v>
      </c>
      <c r="I41" s="42" t="s">
        <v>20</v>
      </c>
      <c r="J41" s="42">
        <v>2</v>
      </c>
      <c r="K41" s="42">
        <v>2</v>
      </c>
    </row>
    <row r="42" spans="1:11" ht="30" x14ac:dyDescent="0.25">
      <c r="A42" s="5"/>
      <c r="B42" s="5"/>
      <c r="C42" s="5" t="s">
        <v>182</v>
      </c>
      <c r="D42" s="11"/>
      <c r="E42" s="11"/>
      <c r="F42" s="42">
        <v>2</v>
      </c>
      <c r="G42" s="42">
        <v>2</v>
      </c>
      <c r="H42" s="10" t="s">
        <v>157</v>
      </c>
      <c r="I42" s="42" t="s">
        <v>20</v>
      </c>
      <c r="J42" s="42">
        <v>2</v>
      </c>
      <c r="K42" s="42">
        <v>2</v>
      </c>
    </row>
    <row r="43" spans="1:11" x14ac:dyDescent="0.25">
      <c r="A43" s="5"/>
      <c r="B43" s="5"/>
      <c r="C43" s="5"/>
      <c r="D43" s="11"/>
      <c r="E43" s="11"/>
      <c r="F43" s="42">
        <v>2</v>
      </c>
      <c r="G43" s="42">
        <v>2</v>
      </c>
      <c r="H43" s="10" t="s">
        <v>158</v>
      </c>
      <c r="I43" s="42" t="s">
        <v>20</v>
      </c>
      <c r="J43" s="42">
        <v>2</v>
      </c>
      <c r="K43" s="42">
        <v>2</v>
      </c>
    </row>
    <row r="44" spans="1:11" ht="30" x14ac:dyDescent="0.25">
      <c r="A44" s="5"/>
      <c r="B44" s="5"/>
      <c r="C44" s="41"/>
      <c r="D44" s="42">
        <v>971513</v>
      </c>
      <c r="E44" s="11" t="s">
        <v>183</v>
      </c>
      <c r="F44" s="42">
        <v>2</v>
      </c>
      <c r="G44" s="42">
        <v>4</v>
      </c>
      <c r="H44" s="10" t="s">
        <v>156</v>
      </c>
      <c r="I44" s="42" t="s">
        <v>20</v>
      </c>
      <c r="J44" s="42">
        <v>2</v>
      </c>
      <c r="K44" s="42">
        <v>4</v>
      </c>
    </row>
    <row r="45" spans="1:11" x14ac:dyDescent="0.25">
      <c r="A45" s="5"/>
      <c r="B45" s="5"/>
      <c r="C45" s="41"/>
      <c r="D45" s="11"/>
      <c r="E45" s="11"/>
      <c r="F45" s="42">
        <v>2</v>
      </c>
      <c r="G45" s="42">
        <v>4</v>
      </c>
      <c r="H45" s="10" t="s">
        <v>157</v>
      </c>
      <c r="I45" s="42" t="s">
        <v>20</v>
      </c>
      <c r="J45" s="42">
        <v>2</v>
      </c>
      <c r="K45" s="42">
        <v>4</v>
      </c>
    </row>
    <row r="46" spans="1:11" x14ac:dyDescent="0.25">
      <c r="A46" s="5"/>
      <c r="B46" s="5"/>
      <c r="C46" s="41"/>
      <c r="D46" s="11"/>
      <c r="E46" s="11"/>
      <c r="F46" s="42">
        <v>2</v>
      </c>
      <c r="G46" s="42">
        <v>4</v>
      </c>
      <c r="H46" s="10" t="s">
        <v>158</v>
      </c>
      <c r="I46" s="42" t="s">
        <v>20</v>
      </c>
      <c r="J46" s="42">
        <v>2</v>
      </c>
      <c r="K46" s="42">
        <v>4</v>
      </c>
    </row>
    <row r="47" spans="1:11" ht="30" x14ac:dyDescent="0.25">
      <c r="A47" s="5"/>
      <c r="B47" s="5"/>
      <c r="C47" s="5"/>
      <c r="D47" s="11"/>
      <c r="E47" s="11" t="s">
        <v>184</v>
      </c>
      <c r="F47" s="42">
        <v>2</v>
      </c>
      <c r="G47" s="42">
        <v>2</v>
      </c>
      <c r="H47" s="10" t="s">
        <v>150</v>
      </c>
      <c r="I47" s="10" t="s">
        <v>20</v>
      </c>
      <c r="J47" s="42">
        <v>2</v>
      </c>
      <c r="K47" s="42">
        <v>2</v>
      </c>
    </row>
    <row r="48" spans="1:11" x14ac:dyDescent="0.25">
      <c r="A48" s="5"/>
      <c r="B48" s="5"/>
      <c r="C48" s="5"/>
      <c r="D48" s="11"/>
      <c r="E48" s="11"/>
      <c r="F48" s="42">
        <v>2</v>
      </c>
      <c r="G48" s="42">
        <v>2</v>
      </c>
      <c r="H48" s="10" t="s">
        <v>152</v>
      </c>
      <c r="I48" s="42" t="s">
        <v>20</v>
      </c>
      <c r="J48" s="42">
        <v>2</v>
      </c>
      <c r="K48" s="42">
        <v>2</v>
      </c>
    </row>
    <row r="49" spans="1:11" x14ac:dyDescent="0.25">
      <c r="A49" s="5"/>
      <c r="B49" s="5"/>
      <c r="C49" s="5"/>
      <c r="D49" s="5"/>
      <c r="E49" s="5"/>
      <c r="F49" s="10">
        <v>2</v>
      </c>
      <c r="G49" s="10">
        <v>2</v>
      </c>
      <c r="H49" s="10" t="s">
        <v>153</v>
      </c>
      <c r="I49" s="10" t="s">
        <v>20</v>
      </c>
      <c r="J49" s="10">
        <v>2</v>
      </c>
      <c r="K49" s="10">
        <v>2</v>
      </c>
    </row>
    <row r="50" spans="1:1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26.25" x14ac:dyDescent="0.4">
      <c r="A51" s="31">
        <v>6</v>
      </c>
      <c r="B51" s="31" t="s">
        <v>185</v>
      </c>
      <c r="C51" s="3" t="s">
        <v>186</v>
      </c>
      <c r="D51" s="3"/>
      <c r="E51" s="3"/>
      <c r="F51" s="3"/>
      <c r="G51" s="3"/>
      <c r="H51" s="3"/>
      <c r="I51" s="3"/>
      <c r="J51" s="21">
        <f>SUM(J52:J60)</f>
        <v>18</v>
      </c>
      <c r="K51" s="21">
        <f>SUM(K52:K60)</f>
        <v>24</v>
      </c>
    </row>
    <row r="52" spans="1:11" x14ac:dyDescent="0.25">
      <c r="A52" s="5"/>
      <c r="B52" s="5"/>
      <c r="C52" s="5" t="s">
        <v>21</v>
      </c>
      <c r="D52" s="42">
        <v>950362</v>
      </c>
      <c r="E52" s="11" t="s">
        <v>187</v>
      </c>
      <c r="F52" s="42">
        <v>2</v>
      </c>
      <c r="G52" s="42">
        <v>2</v>
      </c>
      <c r="H52" s="10" t="s">
        <v>175</v>
      </c>
      <c r="I52" s="42" t="s">
        <v>20</v>
      </c>
      <c r="J52" s="42">
        <v>2</v>
      </c>
      <c r="K52" s="42">
        <v>2</v>
      </c>
    </row>
    <row r="53" spans="1:11" ht="30" x14ac:dyDescent="0.25">
      <c r="A53" s="5"/>
      <c r="B53" s="5"/>
      <c r="C53" s="5" t="s">
        <v>188</v>
      </c>
      <c r="D53" s="11"/>
      <c r="E53" s="11"/>
      <c r="F53" s="42">
        <v>2</v>
      </c>
      <c r="G53" s="42">
        <v>2</v>
      </c>
      <c r="H53" s="10" t="s">
        <v>177</v>
      </c>
      <c r="I53" s="42" t="s">
        <v>20</v>
      </c>
      <c r="J53" s="42">
        <v>2</v>
      </c>
      <c r="K53" s="42">
        <v>2</v>
      </c>
    </row>
    <row r="54" spans="1:11" x14ac:dyDescent="0.25">
      <c r="A54" s="5"/>
      <c r="B54" s="5"/>
      <c r="C54" s="5"/>
      <c r="D54" s="11"/>
      <c r="E54" s="11"/>
      <c r="F54" s="42">
        <v>2</v>
      </c>
      <c r="G54" s="42">
        <v>2</v>
      </c>
      <c r="H54" s="10" t="s">
        <v>178</v>
      </c>
      <c r="I54" s="42" t="s">
        <v>20</v>
      </c>
      <c r="J54" s="42">
        <v>2</v>
      </c>
      <c r="K54" s="42">
        <v>2</v>
      </c>
    </row>
    <row r="55" spans="1:11" ht="30" x14ac:dyDescent="0.25">
      <c r="A55" s="5"/>
      <c r="B55" s="5"/>
      <c r="C55" s="41"/>
      <c r="D55" s="42">
        <v>951422</v>
      </c>
      <c r="E55" s="11" t="s">
        <v>189</v>
      </c>
      <c r="F55" s="42">
        <v>2</v>
      </c>
      <c r="G55" s="42">
        <v>4</v>
      </c>
      <c r="H55" s="10" t="s">
        <v>175</v>
      </c>
      <c r="I55" s="42" t="s">
        <v>20</v>
      </c>
      <c r="J55" s="42">
        <v>2</v>
      </c>
      <c r="K55" s="42">
        <v>4</v>
      </c>
    </row>
    <row r="56" spans="1:11" x14ac:dyDescent="0.25">
      <c r="A56" s="5"/>
      <c r="B56" s="5"/>
      <c r="C56" s="41"/>
      <c r="D56" s="11"/>
      <c r="E56" s="11"/>
      <c r="F56" s="42">
        <v>2</v>
      </c>
      <c r="G56" s="42">
        <v>4</v>
      </c>
      <c r="H56" s="10" t="s">
        <v>177</v>
      </c>
      <c r="I56" s="42" t="s">
        <v>20</v>
      </c>
      <c r="J56" s="42">
        <v>2</v>
      </c>
      <c r="K56" s="42">
        <v>4</v>
      </c>
    </row>
    <row r="57" spans="1:11" x14ac:dyDescent="0.25">
      <c r="A57" s="5"/>
      <c r="B57" s="5"/>
      <c r="C57" s="5"/>
      <c r="D57" s="11"/>
      <c r="E57" s="11"/>
      <c r="F57" s="42">
        <v>2</v>
      </c>
      <c r="G57" s="42">
        <v>4</v>
      </c>
      <c r="H57" s="10" t="s">
        <v>178</v>
      </c>
      <c r="I57" s="42" t="s">
        <v>20</v>
      </c>
      <c r="J57" s="42">
        <v>2</v>
      </c>
      <c r="K57" s="42">
        <v>4</v>
      </c>
    </row>
    <row r="58" spans="1:11" ht="30" x14ac:dyDescent="0.25">
      <c r="A58" s="5"/>
      <c r="B58" s="5"/>
      <c r="C58" s="5"/>
      <c r="D58" s="11"/>
      <c r="E58" s="11" t="s">
        <v>190</v>
      </c>
      <c r="F58" s="42">
        <v>2</v>
      </c>
      <c r="G58" s="42">
        <v>2</v>
      </c>
      <c r="H58" s="10" t="s">
        <v>150</v>
      </c>
      <c r="I58" s="10" t="s">
        <v>20</v>
      </c>
      <c r="J58" s="42">
        <v>2</v>
      </c>
      <c r="K58" s="42">
        <v>2</v>
      </c>
    </row>
    <row r="59" spans="1:11" x14ac:dyDescent="0.25">
      <c r="A59" s="5"/>
      <c r="B59" s="5"/>
      <c r="C59" s="5"/>
      <c r="D59" s="5"/>
      <c r="E59" s="5"/>
      <c r="F59" s="42">
        <v>2</v>
      </c>
      <c r="G59" s="42">
        <v>2</v>
      </c>
      <c r="H59" s="10" t="s">
        <v>152</v>
      </c>
      <c r="I59" s="42" t="s">
        <v>20</v>
      </c>
      <c r="J59" s="42">
        <v>2</v>
      </c>
      <c r="K59" s="42">
        <v>2</v>
      </c>
    </row>
    <row r="60" spans="1:11" x14ac:dyDescent="0.25">
      <c r="A60" s="5"/>
      <c r="B60" s="5"/>
      <c r="C60" s="5"/>
      <c r="D60" s="5"/>
      <c r="E60" s="5"/>
      <c r="F60" s="10">
        <v>2</v>
      </c>
      <c r="G60" s="10">
        <v>2</v>
      </c>
      <c r="H60" s="10" t="s">
        <v>153</v>
      </c>
      <c r="I60" s="10" t="s">
        <v>20</v>
      </c>
      <c r="J60" s="10">
        <v>2</v>
      </c>
      <c r="K60" s="10">
        <v>2</v>
      </c>
    </row>
    <row r="61" spans="1:11" ht="32.25" x14ac:dyDescent="0.4">
      <c r="A61" s="31">
        <v>7</v>
      </c>
      <c r="B61" s="31" t="s">
        <v>191</v>
      </c>
      <c r="C61" s="3" t="s">
        <v>192</v>
      </c>
      <c r="D61" s="3"/>
      <c r="E61" s="3"/>
      <c r="F61" s="3"/>
      <c r="G61" s="3"/>
      <c r="H61" s="3"/>
      <c r="I61" s="3"/>
      <c r="J61" s="21">
        <f>SUM(J62:J68)</f>
        <v>18</v>
      </c>
      <c r="K61" s="21">
        <f>SUM(K62:K68)</f>
        <v>26</v>
      </c>
    </row>
    <row r="62" spans="1:11" x14ac:dyDescent="0.25">
      <c r="A62" s="5"/>
      <c r="B62" s="5"/>
      <c r="C62" s="5" t="s">
        <v>21</v>
      </c>
      <c r="D62" s="42">
        <v>950382</v>
      </c>
      <c r="E62" s="11" t="s">
        <v>193</v>
      </c>
      <c r="F62" s="42">
        <v>2</v>
      </c>
      <c r="G62" s="42">
        <v>2</v>
      </c>
      <c r="H62" s="10" t="s">
        <v>175</v>
      </c>
      <c r="I62" s="42" t="s">
        <v>20</v>
      </c>
      <c r="J62" s="42">
        <v>2</v>
      </c>
      <c r="K62" s="42">
        <v>2</v>
      </c>
    </row>
    <row r="63" spans="1:11" ht="30" x14ac:dyDescent="0.25">
      <c r="A63" s="5"/>
      <c r="B63" s="5"/>
      <c r="C63" s="5" t="s">
        <v>194</v>
      </c>
      <c r="D63" s="11"/>
      <c r="E63" s="11"/>
      <c r="F63" s="42">
        <v>2</v>
      </c>
      <c r="G63" s="42">
        <v>2</v>
      </c>
      <c r="H63" s="10" t="s">
        <v>177</v>
      </c>
      <c r="I63" s="42" t="s">
        <v>20</v>
      </c>
      <c r="J63" s="42">
        <v>2</v>
      </c>
      <c r="K63" s="42">
        <v>2</v>
      </c>
    </row>
    <row r="64" spans="1:11" x14ac:dyDescent="0.25">
      <c r="A64" s="5"/>
      <c r="B64" s="5"/>
      <c r="C64" s="5"/>
      <c r="D64" s="11"/>
      <c r="E64" s="11"/>
      <c r="F64" s="42">
        <v>2</v>
      </c>
      <c r="G64" s="42">
        <v>2</v>
      </c>
      <c r="H64" s="10" t="s">
        <v>178</v>
      </c>
      <c r="I64" s="42" t="s">
        <v>20</v>
      </c>
      <c r="J64" s="42">
        <v>2</v>
      </c>
      <c r="K64" s="42">
        <v>2</v>
      </c>
    </row>
    <row r="65" spans="1:11" x14ac:dyDescent="0.25">
      <c r="A65" s="5"/>
      <c r="B65" s="5"/>
      <c r="C65" s="41"/>
      <c r="D65" s="10">
        <v>912063</v>
      </c>
      <c r="E65" s="5" t="s">
        <v>165</v>
      </c>
      <c r="F65" s="42">
        <v>3</v>
      </c>
      <c r="G65" s="42">
        <v>5</v>
      </c>
      <c r="H65" s="10" t="s">
        <v>70</v>
      </c>
      <c r="I65" s="42" t="s">
        <v>20</v>
      </c>
      <c r="J65" s="42">
        <v>3</v>
      </c>
      <c r="K65" s="42">
        <v>5</v>
      </c>
    </row>
    <row r="66" spans="1:11" x14ac:dyDescent="0.25">
      <c r="A66" s="5"/>
      <c r="B66" s="5"/>
      <c r="C66" s="5"/>
      <c r="D66" s="41"/>
      <c r="E66" s="41" t="s">
        <v>195</v>
      </c>
      <c r="F66" s="42">
        <v>3</v>
      </c>
      <c r="G66" s="42">
        <v>5</v>
      </c>
      <c r="H66" s="10" t="s">
        <v>70</v>
      </c>
      <c r="I66" s="42" t="s">
        <v>20</v>
      </c>
      <c r="J66" s="42">
        <v>3</v>
      </c>
      <c r="K66" s="42">
        <v>5</v>
      </c>
    </row>
    <row r="67" spans="1:11" x14ac:dyDescent="0.25">
      <c r="A67" s="5"/>
      <c r="B67" s="5"/>
      <c r="C67" s="5"/>
      <c r="D67" s="41"/>
      <c r="E67" s="41"/>
      <c r="F67" s="42">
        <v>3</v>
      </c>
      <c r="G67" s="42">
        <v>5</v>
      </c>
      <c r="H67" s="10" t="s">
        <v>71</v>
      </c>
      <c r="I67" s="42" t="s">
        <v>20</v>
      </c>
      <c r="J67" s="42">
        <v>3</v>
      </c>
      <c r="K67" s="42">
        <v>5</v>
      </c>
    </row>
    <row r="68" spans="1:11" x14ac:dyDescent="0.25">
      <c r="A68" s="5"/>
      <c r="B68" s="5"/>
      <c r="C68" s="5"/>
      <c r="D68" s="41"/>
      <c r="E68" s="41"/>
      <c r="F68" s="42">
        <v>3</v>
      </c>
      <c r="G68" s="10">
        <v>5</v>
      </c>
      <c r="H68" s="10" t="s">
        <v>72</v>
      </c>
      <c r="I68" s="42" t="s">
        <v>20</v>
      </c>
      <c r="J68" s="42">
        <v>3</v>
      </c>
      <c r="K68" s="42">
        <v>5</v>
      </c>
    </row>
    <row r="69" spans="1:11" ht="32.25" x14ac:dyDescent="0.4">
      <c r="A69" s="31">
        <v>8</v>
      </c>
      <c r="B69" s="31" t="s">
        <v>196</v>
      </c>
      <c r="C69" s="3" t="s">
        <v>197</v>
      </c>
      <c r="D69" s="3"/>
      <c r="E69" s="3"/>
      <c r="F69" s="3"/>
      <c r="G69" s="3"/>
      <c r="H69" s="3"/>
      <c r="I69" s="3"/>
      <c r="J69" s="21">
        <f>SUM(J70:J72)</f>
        <v>12</v>
      </c>
      <c r="K69" s="21">
        <f>SUM(K70:K72)</f>
        <v>21</v>
      </c>
    </row>
    <row r="70" spans="1:11" x14ac:dyDescent="0.25">
      <c r="A70" s="5"/>
      <c r="B70" s="5"/>
      <c r="C70" s="5" t="s">
        <v>198</v>
      </c>
      <c r="D70" s="42">
        <v>912014</v>
      </c>
      <c r="E70" s="11" t="s">
        <v>199</v>
      </c>
      <c r="F70" s="42">
        <v>4</v>
      </c>
      <c r="G70" s="42">
        <v>7</v>
      </c>
      <c r="H70" s="10" t="s">
        <v>70</v>
      </c>
      <c r="I70" s="42" t="s">
        <v>20</v>
      </c>
      <c r="J70" s="42">
        <v>4</v>
      </c>
      <c r="K70" s="42">
        <v>7</v>
      </c>
    </row>
    <row r="71" spans="1:11" x14ac:dyDescent="0.25">
      <c r="A71" s="5"/>
      <c r="B71" s="5"/>
      <c r="C71" s="5"/>
      <c r="D71" s="11"/>
      <c r="E71" s="11"/>
      <c r="F71" s="42">
        <v>4</v>
      </c>
      <c r="G71" s="42">
        <v>7</v>
      </c>
      <c r="H71" s="10" t="s">
        <v>71</v>
      </c>
      <c r="I71" s="42" t="s">
        <v>20</v>
      </c>
      <c r="J71" s="42">
        <v>4</v>
      </c>
      <c r="K71" s="42">
        <v>7</v>
      </c>
    </row>
    <row r="72" spans="1:11" x14ac:dyDescent="0.25">
      <c r="A72" s="5"/>
      <c r="B72" s="5"/>
      <c r="C72" s="5"/>
      <c r="D72" s="11"/>
      <c r="E72" s="11"/>
      <c r="F72" s="42">
        <v>4</v>
      </c>
      <c r="G72" s="42">
        <v>7</v>
      </c>
      <c r="H72" s="10" t="s">
        <v>72</v>
      </c>
      <c r="I72" s="42" t="s">
        <v>20</v>
      </c>
      <c r="J72" s="42">
        <v>4</v>
      </c>
      <c r="K72" s="42">
        <v>7</v>
      </c>
    </row>
    <row r="73" spans="1:11" ht="26.25" x14ac:dyDescent="0.4">
      <c r="A73" s="31">
        <v>9</v>
      </c>
      <c r="B73" s="31" t="s">
        <v>200</v>
      </c>
      <c r="C73" s="3" t="s">
        <v>201</v>
      </c>
      <c r="D73" s="3"/>
      <c r="E73" s="3"/>
      <c r="F73" s="3"/>
      <c r="G73" s="3"/>
      <c r="H73" s="3"/>
      <c r="I73" s="3"/>
      <c r="J73" s="21">
        <f>SUM(J74:J88)</f>
        <v>30</v>
      </c>
      <c r="K73" s="21">
        <f>SUM(K74:K88)</f>
        <v>42</v>
      </c>
    </row>
    <row r="74" spans="1:11" x14ac:dyDescent="0.25">
      <c r="A74" s="5"/>
      <c r="B74" s="5"/>
      <c r="C74" s="5"/>
      <c r="D74" s="42">
        <v>950352</v>
      </c>
      <c r="E74" s="11" t="s">
        <v>202</v>
      </c>
      <c r="F74" s="42">
        <v>2</v>
      </c>
      <c r="G74" s="42">
        <v>2</v>
      </c>
      <c r="H74" s="10" t="s">
        <v>150</v>
      </c>
      <c r="I74" s="42" t="s">
        <v>20</v>
      </c>
      <c r="J74" s="42">
        <v>2</v>
      </c>
      <c r="K74" s="42">
        <v>2</v>
      </c>
    </row>
    <row r="75" spans="1:11" x14ac:dyDescent="0.25">
      <c r="A75" s="5"/>
      <c r="B75" s="5"/>
      <c r="C75" s="5"/>
      <c r="D75" s="11"/>
      <c r="E75" s="11"/>
      <c r="F75" s="42">
        <v>2</v>
      </c>
      <c r="G75" s="42">
        <v>2</v>
      </c>
      <c r="H75" s="10" t="s">
        <v>152</v>
      </c>
      <c r="I75" s="42" t="s">
        <v>20</v>
      </c>
      <c r="J75" s="42">
        <v>2</v>
      </c>
      <c r="K75" s="42">
        <v>2</v>
      </c>
    </row>
    <row r="76" spans="1:11" x14ac:dyDescent="0.25">
      <c r="A76" s="5"/>
      <c r="B76" s="5"/>
      <c r="C76" s="5"/>
      <c r="D76" s="11"/>
      <c r="E76" s="11"/>
      <c r="F76" s="42">
        <v>2</v>
      </c>
      <c r="G76" s="42">
        <v>2</v>
      </c>
      <c r="H76" s="10" t="s">
        <v>153</v>
      </c>
      <c r="I76" s="42" t="s">
        <v>20</v>
      </c>
      <c r="J76" s="42">
        <v>2</v>
      </c>
      <c r="K76" s="42">
        <v>2</v>
      </c>
    </row>
    <row r="77" spans="1:11" x14ac:dyDescent="0.25">
      <c r="A77" s="5"/>
      <c r="B77" s="5"/>
      <c r="C77" s="41"/>
      <c r="D77" s="42">
        <v>951412</v>
      </c>
      <c r="E77" s="11" t="s">
        <v>203</v>
      </c>
      <c r="F77" s="42">
        <v>2</v>
      </c>
      <c r="G77" s="42">
        <v>4</v>
      </c>
      <c r="H77" s="10" t="s">
        <v>150</v>
      </c>
      <c r="I77" s="42" t="s">
        <v>20</v>
      </c>
      <c r="J77" s="42">
        <v>2</v>
      </c>
      <c r="K77" s="42">
        <v>4</v>
      </c>
    </row>
    <row r="78" spans="1:11" x14ac:dyDescent="0.25">
      <c r="A78" s="5"/>
      <c r="B78" s="5"/>
      <c r="C78" s="5"/>
      <c r="D78" s="41"/>
      <c r="E78" s="41"/>
      <c r="F78" s="42">
        <v>2</v>
      </c>
      <c r="G78" s="42">
        <v>4</v>
      </c>
      <c r="H78" s="10" t="s">
        <v>152</v>
      </c>
      <c r="I78" s="42" t="s">
        <v>20</v>
      </c>
      <c r="J78" s="42">
        <v>2</v>
      </c>
      <c r="K78" s="42">
        <v>4</v>
      </c>
    </row>
    <row r="79" spans="1:11" x14ac:dyDescent="0.25">
      <c r="A79" s="5"/>
      <c r="B79" s="5"/>
      <c r="C79" s="5"/>
      <c r="D79" s="41"/>
      <c r="E79" s="41"/>
      <c r="F79" s="42">
        <v>2</v>
      </c>
      <c r="G79" s="42">
        <v>4</v>
      </c>
      <c r="H79" s="10" t="s">
        <v>153</v>
      </c>
      <c r="I79" s="42" t="s">
        <v>20</v>
      </c>
      <c r="J79" s="42">
        <v>2</v>
      </c>
      <c r="K79" s="42">
        <v>4</v>
      </c>
    </row>
    <row r="80" spans="1:11" x14ac:dyDescent="0.25">
      <c r="A80" s="5"/>
      <c r="B80" s="5"/>
      <c r="C80" s="5"/>
      <c r="D80" s="42">
        <v>950402</v>
      </c>
      <c r="E80" s="11" t="s">
        <v>204</v>
      </c>
      <c r="F80" s="42">
        <v>2</v>
      </c>
      <c r="G80" s="42">
        <v>2</v>
      </c>
      <c r="H80" s="10" t="s">
        <v>150</v>
      </c>
      <c r="I80" s="42" t="s">
        <v>20</v>
      </c>
      <c r="J80" s="42">
        <v>2</v>
      </c>
      <c r="K80" s="42">
        <v>2</v>
      </c>
    </row>
    <row r="81" spans="1:11" x14ac:dyDescent="0.25">
      <c r="A81" s="41"/>
      <c r="B81" s="41"/>
      <c r="C81" s="41"/>
      <c r="D81" s="41"/>
      <c r="E81" s="41"/>
      <c r="F81" s="42">
        <v>2</v>
      </c>
      <c r="G81" s="42">
        <v>2</v>
      </c>
      <c r="H81" s="10" t="s">
        <v>152</v>
      </c>
      <c r="I81" s="42" t="s">
        <v>20</v>
      </c>
      <c r="J81" s="42">
        <v>2</v>
      </c>
      <c r="K81" s="42">
        <v>2</v>
      </c>
    </row>
    <row r="82" spans="1:11" x14ac:dyDescent="0.25">
      <c r="A82" s="41"/>
      <c r="B82" s="41"/>
      <c r="C82" s="41"/>
      <c r="D82" s="41"/>
      <c r="E82" s="41"/>
      <c r="F82" s="42">
        <v>2</v>
      </c>
      <c r="G82" s="42">
        <v>2</v>
      </c>
      <c r="H82" s="10" t="s">
        <v>153</v>
      </c>
      <c r="I82" s="42" t="s">
        <v>20</v>
      </c>
      <c r="J82" s="42">
        <v>2</v>
      </c>
      <c r="K82" s="42">
        <v>2</v>
      </c>
    </row>
    <row r="83" spans="1:11" x14ac:dyDescent="0.25">
      <c r="A83" s="41"/>
      <c r="B83" s="41"/>
      <c r="C83" s="41"/>
      <c r="D83" s="42">
        <v>951432</v>
      </c>
      <c r="E83" s="11" t="s">
        <v>205</v>
      </c>
      <c r="F83" s="42">
        <v>2</v>
      </c>
      <c r="G83" s="42">
        <v>4</v>
      </c>
      <c r="H83" s="10" t="s">
        <v>150</v>
      </c>
      <c r="I83" s="42" t="s">
        <v>20</v>
      </c>
      <c r="J83" s="42">
        <v>2</v>
      </c>
      <c r="K83" s="42">
        <v>4</v>
      </c>
    </row>
    <row r="84" spans="1:11" x14ac:dyDescent="0.25">
      <c r="A84" s="41"/>
      <c r="B84" s="41"/>
      <c r="C84" s="41"/>
      <c r="D84" s="41"/>
      <c r="E84" s="41"/>
      <c r="F84" s="42">
        <v>2</v>
      </c>
      <c r="G84" s="42">
        <v>4</v>
      </c>
      <c r="H84" s="10" t="s">
        <v>152</v>
      </c>
      <c r="I84" s="42" t="s">
        <v>20</v>
      </c>
      <c r="J84" s="42">
        <v>2</v>
      </c>
      <c r="K84" s="42">
        <v>4</v>
      </c>
    </row>
    <row r="85" spans="1:11" x14ac:dyDescent="0.25">
      <c r="A85" s="41"/>
      <c r="B85" s="41"/>
      <c r="C85" s="41"/>
      <c r="D85" s="41"/>
      <c r="E85" s="41"/>
      <c r="F85" s="42">
        <v>2</v>
      </c>
      <c r="G85" s="42">
        <v>4</v>
      </c>
      <c r="H85" s="10" t="s">
        <v>153</v>
      </c>
      <c r="I85" s="42" t="s">
        <v>20</v>
      </c>
      <c r="J85" s="42">
        <v>2</v>
      </c>
      <c r="K85" s="42">
        <v>4</v>
      </c>
    </row>
    <row r="86" spans="1:11" x14ac:dyDescent="0.25">
      <c r="A86" s="41"/>
      <c r="B86" s="41"/>
      <c r="C86" s="41"/>
      <c r="D86" s="42">
        <v>950392</v>
      </c>
      <c r="E86" s="11" t="s">
        <v>206</v>
      </c>
      <c r="F86" s="42">
        <v>2</v>
      </c>
      <c r="G86" s="42">
        <v>2</v>
      </c>
      <c r="H86" s="10" t="s">
        <v>150</v>
      </c>
      <c r="I86" s="42" t="s">
        <v>20</v>
      </c>
      <c r="J86" s="42">
        <v>2</v>
      </c>
      <c r="K86" s="42">
        <v>2</v>
      </c>
    </row>
    <row r="87" spans="1:11" x14ac:dyDescent="0.25">
      <c r="A87" s="41"/>
      <c r="B87" s="41"/>
      <c r="C87" s="41"/>
      <c r="D87" s="41"/>
      <c r="E87" s="41"/>
      <c r="F87" s="42">
        <v>2</v>
      </c>
      <c r="G87" s="42">
        <v>2</v>
      </c>
      <c r="H87" s="10" t="s">
        <v>152</v>
      </c>
      <c r="I87" s="42" t="s">
        <v>20</v>
      </c>
      <c r="J87" s="42">
        <v>2</v>
      </c>
      <c r="K87" s="42">
        <v>2</v>
      </c>
    </row>
    <row r="88" spans="1:11" x14ac:dyDescent="0.25">
      <c r="A88" s="41"/>
      <c r="B88" s="41"/>
      <c r="C88" s="41"/>
      <c r="D88" s="41"/>
      <c r="E88" s="41"/>
      <c r="F88" s="42">
        <v>2</v>
      </c>
      <c r="G88" s="42">
        <v>2</v>
      </c>
      <c r="H88" s="10" t="s">
        <v>153</v>
      </c>
      <c r="I88" s="42" t="s">
        <v>20</v>
      </c>
      <c r="J88" s="42">
        <v>2</v>
      </c>
      <c r="K88" s="42">
        <v>2</v>
      </c>
    </row>
    <row r="89" spans="1:11" ht="26.25" x14ac:dyDescent="0.4">
      <c r="A89" s="31">
        <v>10</v>
      </c>
      <c r="B89" s="31" t="s">
        <v>208</v>
      </c>
      <c r="C89" s="3" t="s">
        <v>207</v>
      </c>
      <c r="D89" s="3"/>
      <c r="E89" s="3"/>
      <c r="F89" s="3"/>
      <c r="G89" s="3"/>
      <c r="H89" s="3"/>
      <c r="I89" s="3"/>
      <c r="J89" s="21">
        <f>SUM(J90:J92)</f>
        <v>12</v>
      </c>
      <c r="K89" s="21">
        <f>SUM(K90:K92)</f>
        <v>21</v>
      </c>
    </row>
    <row r="90" spans="1:11" x14ac:dyDescent="0.25">
      <c r="A90" s="43"/>
      <c r="B90" s="43"/>
      <c r="C90" s="43"/>
      <c r="D90" s="30">
        <v>912014</v>
      </c>
      <c r="E90" s="25" t="s">
        <v>199</v>
      </c>
      <c r="F90" s="42">
        <v>4</v>
      </c>
      <c r="G90" s="42">
        <v>7</v>
      </c>
      <c r="H90" s="10" t="s">
        <v>70</v>
      </c>
      <c r="I90" s="42" t="s">
        <v>20</v>
      </c>
      <c r="J90" s="42">
        <v>4</v>
      </c>
      <c r="K90" s="42">
        <v>7</v>
      </c>
    </row>
    <row r="91" spans="1:11" x14ac:dyDescent="0.25">
      <c r="A91" s="43"/>
      <c r="B91" s="43"/>
      <c r="C91" s="43"/>
      <c r="D91" s="43"/>
      <c r="E91" s="43"/>
      <c r="F91" s="42">
        <v>4</v>
      </c>
      <c r="G91" s="42">
        <v>7</v>
      </c>
      <c r="H91" s="10" t="s">
        <v>71</v>
      </c>
      <c r="I91" s="42" t="s">
        <v>20</v>
      </c>
      <c r="J91" s="42">
        <v>4</v>
      </c>
      <c r="K91" s="42">
        <v>7</v>
      </c>
    </row>
    <row r="92" spans="1:11" x14ac:dyDescent="0.25">
      <c r="A92" s="43"/>
      <c r="B92" s="43"/>
      <c r="C92" s="43"/>
      <c r="D92" s="43"/>
      <c r="E92" s="43"/>
      <c r="F92" s="42">
        <v>4</v>
      </c>
      <c r="G92" s="42">
        <v>7</v>
      </c>
      <c r="H92" s="10" t="s">
        <v>72</v>
      </c>
      <c r="I92" s="42" t="s">
        <v>20</v>
      </c>
      <c r="J92" s="42">
        <v>4</v>
      </c>
      <c r="K92" s="42">
        <v>7</v>
      </c>
    </row>
    <row r="93" spans="1:11" ht="32.25" x14ac:dyDescent="0.4">
      <c r="A93" s="31">
        <v>11</v>
      </c>
      <c r="B93" s="31" t="s">
        <v>211</v>
      </c>
      <c r="C93" s="3" t="s">
        <v>210</v>
      </c>
      <c r="D93" s="3"/>
      <c r="E93" s="3"/>
      <c r="F93" s="3"/>
      <c r="G93" s="3"/>
      <c r="H93" s="3"/>
      <c r="I93" s="3"/>
      <c r="J93" s="21">
        <f>SUM(J94:J96)</f>
        <v>6</v>
      </c>
      <c r="K93" s="21">
        <f>SUM(K94:K96)</f>
        <v>6</v>
      </c>
    </row>
    <row r="94" spans="1:11" x14ac:dyDescent="0.25">
      <c r="A94" s="43"/>
      <c r="B94" s="43"/>
      <c r="C94" s="43"/>
      <c r="D94" s="30" t="s">
        <v>212</v>
      </c>
      <c r="E94" s="25" t="s">
        <v>209</v>
      </c>
      <c r="F94" s="42">
        <v>2</v>
      </c>
      <c r="G94" s="42">
        <v>2</v>
      </c>
      <c r="H94" s="10" t="s">
        <v>150</v>
      </c>
      <c r="I94" s="42" t="s">
        <v>20</v>
      </c>
      <c r="J94" s="42">
        <v>2</v>
      </c>
      <c r="K94" s="42">
        <v>2</v>
      </c>
    </row>
    <row r="95" spans="1:11" x14ac:dyDescent="0.25">
      <c r="A95" s="43"/>
      <c r="B95" s="43"/>
      <c r="C95" s="43"/>
      <c r="D95" s="43"/>
      <c r="E95" s="43"/>
      <c r="F95" s="42">
        <v>2</v>
      </c>
      <c r="G95" s="42">
        <v>2</v>
      </c>
      <c r="H95" s="10" t="s">
        <v>152</v>
      </c>
      <c r="I95" s="42" t="s">
        <v>20</v>
      </c>
      <c r="J95" s="42">
        <v>2</v>
      </c>
      <c r="K95" s="42">
        <v>2</v>
      </c>
    </row>
    <row r="96" spans="1:11" x14ac:dyDescent="0.25">
      <c r="A96" s="43"/>
      <c r="B96" s="43"/>
      <c r="C96" s="43"/>
      <c r="D96" s="43"/>
      <c r="E96" s="43"/>
      <c r="F96" s="42">
        <v>2</v>
      </c>
      <c r="G96" s="42">
        <v>2</v>
      </c>
      <c r="H96" s="10" t="s">
        <v>153</v>
      </c>
      <c r="I96" s="42" t="s">
        <v>20</v>
      </c>
      <c r="J96" s="42">
        <v>2</v>
      </c>
      <c r="K96" s="42">
        <v>2</v>
      </c>
    </row>
    <row r="97" spans="1:11" ht="15.75" x14ac:dyDescent="0.25">
      <c r="A97" s="31">
        <v>12</v>
      </c>
      <c r="B97" s="1" t="s">
        <v>144</v>
      </c>
      <c r="C97" s="2" t="s">
        <v>145</v>
      </c>
      <c r="D97" s="3"/>
      <c r="E97" s="3"/>
      <c r="F97" s="3"/>
      <c r="G97" s="3"/>
      <c r="H97" s="3"/>
      <c r="I97" s="3"/>
      <c r="J97" s="4">
        <f>SUM(J98:J100)</f>
        <v>6</v>
      </c>
      <c r="K97" s="4">
        <f>SUM(K98:K100)</f>
        <v>6</v>
      </c>
    </row>
    <row r="98" spans="1:11" x14ac:dyDescent="0.25">
      <c r="A98" s="43"/>
      <c r="B98" s="5"/>
      <c r="C98" s="6"/>
      <c r="D98" s="38" t="s">
        <v>138</v>
      </c>
      <c r="E98" s="5" t="s">
        <v>103</v>
      </c>
      <c r="F98" s="9">
        <v>2</v>
      </c>
      <c r="G98" s="9">
        <v>2</v>
      </c>
      <c r="H98" s="10" t="s">
        <v>150</v>
      </c>
      <c r="I98" s="42" t="s">
        <v>20</v>
      </c>
      <c r="J98" s="9">
        <v>2</v>
      </c>
      <c r="K98" s="9">
        <v>2</v>
      </c>
    </row>
    <row r="99" spans="1:11" x14ac:dyDescent="0.25">
      <c r="A99" s="43"/>
      <c r="B99" s="5"/>
      <c r="C99" s="5"/>
      <c r="D99" s="5"/>
      <c r="E99" s="5"/>
      <c r="F99" s="9">
        <v>2</v>
      </c>
      <c r="G99" s="9">
        <v>2</v>
      </c>
      <c r="H99" s="10" t="s">
        <v>152</v>
      </c>
      <c r="I99" s="42" t="s">
        <v>20</v>
      </c>
      <c r="J99" s="9">
        <v>2</v>
      </c>
      <c r="K99" s="9">
        <v>2</v>
      </c>
    </row>
    <row r="100" spans="1:11" x14ac:dyDescent="0.25">
      <c r="A100" s="43"/>
      <c r="B100" s="43"/>
      <c r="C100" s="43"/>
      <c r="D100" s="43"/>
      <c r="E100" s="43"/>
      <c r="F100" s="9">
        <v>2</v>
      </c>
      <c r="G100" s="9">
        <v>2</v>
      </c>
      <c r="H100" s="10" t="s">
        <v>153</v>
      </c>
      <c r="I100" s="42" t="s">
        <v>20</v>
      </c>
      <c r="J100" s="9">
        <v>2</v>
      </c>
      <c r="K100" s="9">
        <v>2</v>
      </c>
    </row>
    <row r="101" spans="1:11" ht="15.75" x14ac:dyDescent="0.25">
      <c r="A101" s="31">
        <v>13</v>
      </c>
      <c r="B101" s="1" t="s">
        <v>216</v>
      </c>
      <c r="C101" s="2" t="s">
        <v>213</v>
      </c>
      <c r="D101" s="3"/>
      <c r="E101" s="3"/>
      <c r="F101" s="3"/>
      <c r="G101" s="3"/>
      <c r="H101" s="3"/>
      <c r="I101" s="3"/>
      <c r="J101" s="4">
        <f>SUM(J102:J104)</f>
        <v>6</v>
      </c>
      <c r="K101" s="4">
        <f>SUM(K102:K104)</f>
        <v>6</v>
      </c>
    </row>
    <row r="102" spans="1:11" x14ac:dyDescent="0.25">
      <c r="A102" s="43"/>
      <c r="B102" s="5"/>
      <c r="C102" s="6"/>
      <c r="D102" s="38" t="s">
        <v>215</v>
      </c>
      <c r="E102" s="5" t="s">
        <v>214</v>
      </c>
      <c r="F102" s="9">
        <v>2</v>
      </c>
      <c r="G102" s="9">
        <v>2</v>
      </c>
      <c r="H102" s="10" t="s">
        <v>150</v>
      </c>
      <c r="I102" s="42" t="s">
        <v>20</v>
      </c>
      <c r="J102" s="9">
        <v>2</v>
      </c>
      <c r="K102" s="9">
        <v>2</v>
      </c>
    </row>
    <row r="103" spans="1:11" x14ac:dyDescent="0.25">
      <c r="A103" s="43"/>
      <c r="B103" s="5"/>
      <c r="C103" s="5"/>
      <c r="D103" s="5"/>
      <c r="E103" s="5"/>
      <c r="F103" s="9">
        <v>2</v>
      </c>
      <c r="G103" s="9">
        <v>2</v>
      </c>
      <c r="H103" s="10" t="s">
        <v>152</v>
      </c>
      <c r="I103" s="42" t="s">
        <v>20</v>
      </c>
      <c r="J103" s="9">
        <v>2</v>
      </c>
      <c r="K103" s="9">
        <v>2</v>
      </c>
    </row>
    <row r="104" spans="1:11" x14ac:dyDescent="0.25">
      <c r="A104" s="43"/>
      <c r="B104" s="43"/>
      <c r="C104" s="43"/>
      <c r="D104" s="43"/>
      <c r="E104" s="43"/>
      <c r="F104" s="9">
        <v>2</v>
      </c>
      <c r="G104" s="9">
        <v>2</v>
      </c>
      <c r="H104" s="10" t="s">
        <v>153</v>
      </c>
      <c r="I104" s="42" t="s">
        <v>20</v>
      </c>
      <c r="J104" s="9">
        <v>2</v>
      </c>
      <c r="K104" s="9">
        <v>2</v>
      </c>
    </row>
    <row r="105" spans="1:11" ht="15.75" x14ac:dyDescent="0.25">
      <c r="A105" s="31">
        <v>14</v>
      </c>
      <c r="B105" s="1" t="s">
        <v>132</v>
      </c>
      <c r="C105" s="2" t="s">
        <v>217</v>
      </c>
      <c r="D105" s="3"/>
      <c r="E105" s="3"/>
      <c r="F105" s="3"/>
      <c r="G105" s="3"/>
      <c r="H105" s="3"/>
      <c r="I105" s="3"/>
      <c r="J105" s="4">
        <f>SUM(J106)</f>
        <v>3</v>
      </c>
      <c r="K105" s="4">
        <f>SUM(K106)</f>
        <v>5</v>
      </c>
    </row>
    <row r="106" spans="1:11" ht="30" x14ac:dyDescent="0.25">
      <c r="A106" s="43"/>
      <c r="B106" s="5"/>
      <c r="C106" s="6"/>
      <c r="D106" s="38">
        <v>912023</v>
      </c>
      <c r="E106" s="5" t="s">
        <v>218</v>
      </c>
      <c r="F106" s="9">
        <v>3</v>
      </c>
      <c r="G106" s="9">
        <v>5</v>
      </c>
      <c r="H106" s="10" t="s">
        <v>70</v>
      </c>
      <c r="I106" s="42" t="s">
        <v>20</v>
      </c>
      <c r="J106" s="9">
        <v>3</v>
      </c>
      <c r="K106" s="9">
        <v>5</v>
      </c>
    </row>
    <row r="107" spans="1:11" ht="15.75" x14ac:dyDescent="0.25">
      <c r="A107" s="31">
        <v>15</v>
      </c>
      <c r="B107" s="1" t="s">
        <v>219</v>
      </c>
      <c r="C107" s="2" t="s">
        <v>220</v>
      </c>
      <c r="D107" s="3"/>
      <c r="E107" s="3"/>
      <c r="F107" s="3"/>
      <c r="G107" s="3"/>
      <c r="H107" s="3"/>
      <c r="I107" s="3"/>
      <c r="J107" s="4">
        <f>SUM(J108)</f>
        <v>3</v>
      </c>
      <c r="K107" s="4">
        <f>SUM(K108)</f>
        <v>5</v>
      </c>
    </row>
    <row r="108" spans="1:11" ht="30" x14ac:dyDescent="0.25">
      <c r="A108" s="43"/>
      <c r="B108" s="5"/>
      <c r="C108" s="6"/>
      <c r="D108" s="38">
        <v>912023</v>
      </c>
      <c r="E108" s="5" t="s">
        <v>218</v>
      </c>
      <c r="F108" s="9">
        <v>3</v>
      </c>
      <c r="G108" s="9">
        <v>5</v>
      </c>
      <c r="H108" s="10" t="s">
        <v>72</v>
      </c>
      <c r="I108" s="42" t="s">
        <v>20</v>
      </c>
      <c r="J108" s="9">
        <v>3</v>
      </c>
      <c r="K108" s="9">
        <v>5</v>
      </c>
    </row>
    <row r="109" spans="1:11" ht="15.75" x14ac:dyDescent="0.25">
      <c r="A109" s="31">
        <v>16</v>
      </c>
      <c r="B109" s="1" t="s">
        <v>121</v>
      </c>
      <c r="C109" s="2" t="s">
        <v>120</v>
      </c>
      <c r="D109" s="3"/>
      <c r="E109" s="3"/>
      <c r="F109" s="3"/>
      <c r="G109" s="3"/>
      <c r="H109" s="3"/>
      <c r="I109" s="3"/>
      <c r="J109" s="4">
        <f>SUM(J110:J112)</f>
        <v>6</v>
      </c>
      <c r="K109" s="4">
        <f>SUM(K110:K112)</f>
        <v>6</v>
      </c>
    </row>
    <row r="110" spans="1:11" x14ac:dyDescent="0.25">
      <c r="A110" s="43"/>
      <c r="B110" s="5"/>
      <c r="C110" s="6"/>
      <c r="D110" s="38">
        <v>910032</v>
      </c>
      <c r="E110" s="5" t="s">
        <v>221</v>
      </c>
      <c r="F110" s="9">
        <v>2</v>
      </c>
      <c r="G110" s="9">
        <v>2</v>
      </c>
      <c r="H110" s="10" t="s">
        <v>70</v>
      </c>
      <c r="I110" s="42" t="s">
        <v>20</v>
      </c>
      <c r="J110" s="9">
        <v>2</v>
      </c>
      <c r="K110" s="9">
        <v>2</v>
      </c>
    </row>
    <row r="111" spans="1:11" x14ac:dyDescent="0.25">
      <c r="A111" s="43"/>
      <c r="B111" s="5"/>
      <c r="C111" s="5"/>
      <c r="D111" s="5"/>
      <c r="E111" s="5"/>
      <c r="F111" s="9">
        <v>2</v>
      </c>
      <c r="G111" s="9">
        <v>2</v>
      </c>
      <c r="H111" s="10" t="s">
        <v>71</v>
      </c>
      <c r="I111" s="42" t="s">
        <v>20</v>
      </c>
      <c r="J111" s="9">
        <v>2</v>
      </c>
      <c r="K111" s="9">
        <v>2</v>
      </c>
    </row>
    <row r="112" spans="1:11" x14ac:dyDescent="0.25">
      <c r="A112" s="43"/>
      <c r="B112" s="43"/>
      <c r="C112" s="43"/>
      <c r="D112" s="43"/>
      <c r="E112" s="43"/>
      <c r="F112" s="9">
        <v>2</v>
      </c>
      <c r="G112" s="9">
        <v>2</v>
      </c>
      <c r="H112" s="10" t="s">
        <v>72</v>
      </c>
      <c r="I112" s="42" t="s">
        <v>20</v>
      </c>
      <c r="J112" s="9">
        <v>2</v>
      </c>
      <c r="K112" s="9">
        <v>2</v>
      </c>
    </row>
    <row r="113" spans="1:11" ht="15.75" x14ac:dyDescent="0.25">
      <c r="A113" s="31">
        <v>17</v>
      </c>
      <c r="B113" s="1" t="s">
        <v>222</v>
      </c>
      <c r="C113" s="2" t="s">
        <v>223</v>
      </c>
      <c r="D113" s="3"/>
      <c r="E113" s="3"/>
      <c r="F113" s="3"/>
      <c r="G113" s="3"/>
      <c r="H113" s="3"/>
      <c r="I113" s="3"/>
      <c r="J113" s="4">
        <f>SUM(J114)</f>
        <v>3</v>
      </c>
      <c r="K113" s="4">
        <f>SUM(K114)</f>
        <v>5</v>
      </c>
    </row>
    <row r="114" spans="1:11" ht="30" x14ac:dyDescent="0.25">
      <c r="A114" s="43"/>
      <c r="B114" s="5"/>
      <c r="C114" s="6"/>
      <c r="D114" s="38">
        <v>912023</v>
      </c>
      <c r="E114" s="5" t="s">
        <v>218</v>
      </c>
      <c r="F114" s="9">
        <v>3</v>
      </c>
      <c r="G114" s="9">
        <v>5</v>
      </c>
      <c r="H114" s="10" t="s">
        <v>71</v>
      </c>
      <c r="I114" s="42" t="s">
        <v>20</v>
      </c>
      <c r="J114" s="9">
        <v>3</v>
      </c>
      <c r="K114" s="9">
        <v>5</v>
      </c>
    </row>
    <row r="115" spans="1:11" ht="15.75" x14ac:dyDescent="0.25">
      <c r="A115" s="31">
        <v>18</v>
      </c>
      <c r="B115" s="1" t="s">
        <v>85</v>
      </c>
      <c r="C115" s="2" t="s">
        <v>42</v>
      </c>
      <c r="D115" s="3"/>
      <c r="E115" s="3"/>
      <c r="F115" s="3"/>
      <c r="G115" s="3"/>
      <c r="H115" s="3"/>
      <c r="I115" s="3"/>
      <c r="J115" s="4">
        <f>SUM(J116:J118)</f>
        <v>6</v>
      </c>
      <c r="K115" s="4">
        <f>SUM(K116:K118)</f>
        <v>6</v>
      </c>
    </row>
    <row r="116" spans="1:11" x14ac:dyDescent="0.25">
      <c r="A116" s="43"/>
      <c r="B116" s="5"/>
      <c r="C116" s="6"/>
      <c r="D116" s="38" t="s">
        <v>141</v>
      </c>
      <c r="E116" s="5" t="s">
        <v>224</v>
      </c>
      <c r="F116" s="9">
        <v>2</v>
      </c>
      <c r="G116" s="9">
        <v>2</v>
      </c>
      <c r="H116" s="10" t="s">
        <v>70</v>
      </c>
      <c r="I116" s="42" t="s">
        <v>20</v>
      </c>
      <c r="J116" s="9">
        <v>2</v>
      </c>
      <c r="K116" s="9">
        <v>2</v>
      </c>
    </row>
    <row r="117" spans="1:11" x14ac:dyDescent="0.25">
      <c r="A117" s="43"/>
      <c r="B117" s="5"/>
      <c r="C117" s="5"/>
      <c r="D117" s="5"/>
      <c r="E117" s="5"/>
      <c r="F117" s="9">
        <v>2</v>
      </c>
      <c r="G117" s="9">
        <v>2</v>
      </c>
      <c r="H117" s="10" t="s">
        <v>71</v>
      </c>
      <c r="I117" s="42" t="s">
        <v>20</v>
      </c>
      <c r="J117" s="9">
        <v>2</v>
      </c>
      <c r="K117" s="9">
        <v>2</v>
      </c>
    </row>
    <row r="118" spans="1:11" x14ac:dyDescent="0.25">
      <c r="A118" s="43"/>
      <c r="B118" s="43"/>
      <c r="C118" s="43"/>
      <c r="D118" s="43"/>
      <c r="E118" s="43"/>
      <c r="F118" s="9">
        <v>2</v>
      </c>
      <c r="G118" s="9">
        <v>2</v>
      </c>
      <c r="H118" s="10" t="s">
        <v>72</v>
      </c>
      <c r="I118" s="42" t="s">
        <v>20</v>
      </c>
      <c r="J118" s="9">
        <v>2</v>
      </c>
      <c r="K118" s="9">
        <v>2</v>
      </c>
    </row>
    <row r="119" spans="1:11" ht="15.75" x14ac:dyDescent="0.25">
      <c r="A119" s="31">
        <v>19</v>
      </c>
      <c r="B119" s="1" t="s">
        <v>225</v>
      </c>
      <c r="C119" s="2" t="s">
        <v>226</v>
      </c>
      <c r="D119" s="3"/>
      <c r="E119" s="3"/>
      <c r="F119" s="3"/>
      <c r="G119" s="3"/>
      <c r="H119" s="3"/>
      <c r="I119" s="3"/>
      <c r="J119" s="4">
        <f>SUM(J120:J122)</f>
        <v>6</v>
      </c>
      <c r="K119" s="4">
        <f>SUM(K120:K122)</f>
        <v>6</v>
      </c>
    </row>
    <row r="120" spans="1:11" x14ac:dyDescent="0.25">
      <c r="A120" s="43"/>
      <c r="B120" s="5"/>
      <c r="C120" s="6"/>
      <c r="D120" s="38" t="s">
        <v>228</v>
      </c>
      <c r="E120" s="5" t="s">
        <v>227</v>
      </c>
      <c r="F120" s="9">
        <v>2</v>
      </c>
      <c r="G120" s="9">
        <v>2</v>
      </c>
      <c r="H120" s="10" t="s">
        <v>156</v>
      </c>
      <c r="I120" s="42" t="s">
        <v>20</v>
      </c>
      <c r="J120" s="9">
        <v>2</v>
      </c>
      <c r="K120" s="9">
        <v>2</v>
      </c>
    </row>
    <row r="121" spans="1:11" x14ac:dyDescent="0.25">
      <c r="A121" s="43"/>
      <c r="B121" s="5"/>
      <c r="C121" s="5"/>
      <c r="D121" s="5"/>
      <c r="E121" s="5"/>
      <c r="F121" s="9">
        <v>2</v>
      </c>
      <c r="G121" s="9">
        <v>2</v>
      </c>
      <c r="H121" s="10" t="s">
        <v>157</v>
      </c>
      <c r="I121" s="42" t="s">
        <v>20</v>
      </c>
      <c r="J121" s="9">
        <v>2</v>
      </c>
      <c r="K121" s="9">
        <v>2</v>
      </c>
    </row>
    <row r="122" spans="1:11" x14ac:dyDescent="0.25">
      <c r="A122" s="43"/>
      <c r="B122" s="43"/>
      <c r="C122" s="43"/>
      <c r="D122" s="43"/>
      <c r="E122" s="43"/>
      <c r="F122" s="9">
        <v>2</v>
      </c>
      <c r="G122" s="9">
        <v>2</v>
      </c>
      <c r="H122" s="10" t="s">
        <v>158</v>
      </c>
      <c r="I122" s="42" t="s">
        <v>20</v>
      </c>
      <c r="J122" s="9">
        <v>2</v>
      </c>
      <c r="K122" s="9">
        <v>2</v>
      </c>
    </row>
    <row r="123" spans="1:11" ht="15.75" x14ac:dyDescent="0.25">
      <c r="A123" s="31">
        <v>20</v>
      </c>
      <c r="B123" s="1" t="s">
        <v>229</v>
      </c>
      <c r="C123" s="2" t="s">
        <v>230</v>
      </c>
      <c r="D123" s="3"/>
      <c r="E123" s="3"/>
      <c r="F123" s="3"/>
      <c r="G123" s="3"/>
      <c r="H123" s="3"/>
      <c r="I123" s="3"/>
      <c r="J123" s="4">
        <f>SUM(J124)</f>
        <v>3</v>
      </c>
      <c r="K123" s="4">
        <f>SUM(K124)</f>
        <v>3</v>
      </c>
    </row>
    <row r="124" spans="1:11" ht="30" x14ac:dyDescent="0.25">
      <c r="A124" s="43"/>
      <c r="B124" s="5"/>
      <c r="C124" s="6"/>
      <c r="D124" s="38">
        <v>970473</v>
      </c>
      <c r="E124" s="5" t="s">
        <v>231</v>
      </c>
      <c r="F124" s="9">
        <v>3</v>
      </c>
      <c r="G124" s="9">
        <v>3</v>
      </c>
      <c r="H124" s="10" t="s">
        <v>156</v>
      </c>
      <c r="I124" s="42" t="s">
        <v>20</v>
      </c>
      <c r="J124" s="9">
        <v>3</v>
      </c>
      <c r="K124" s="9">
        <v>3</v>
      </c>
    </row>
    <row r="125" spans="1:11" ht="15.75" x14ac:dyDescent="0.25">
      <c r="A125" s="31">
        <v>21</v>
      </c>
      <c r="B125" s="1" t="s">
        <v>232</v>
      </c>
      <c r="C125" s="2" t="s">
        <v>233</v>
      </c>
      <c r="D125" s="3"/>
      <c r="E125" s="3"/>
      <c r="F125" s="3"/>
      <c r="G125" s="3"/>
      <c r="H125" s="3"/>
      <c r="I125" s="3"/>
      <c r="J125" s="4">
        <f>SUM(J126)</f>
        <v>3</v>
      </c>
      <c r="K125" s="4">
        <f>SUM(K126)</f>
        <v>3</v>
      </c>
    </row>
    <row r="126" spans="1:11" x14ac:dyDescent="0.25">
      <c r="A126" s="43"/>
      <c r="B126" s="5"/>
      <c r="C126" s="6"/>
      <c r="D126" s="38">
        <v>970503</v>
      </c>
      <c r="E126" s="5" t="s">
        <v>234</v>
      </c>
      <c r="F126" s="9">
        <v>3</v>
      </c>
      <c r="G126" s="9">
        <v>3</v>
      </c>
      <c r="H126" s="10" t="s">
        <v>156</v>
      </c>
      <c r="I126" s="42" t="s">
        <v>20</v>
      </c>
      <c r="J126" s="9">
        <v>3</v>
      </c>
      <c r="K126" s="9">
        <v>3</v>
      </c>
    </row>
    <row r="127" spans="1:11" ht="15.75" x14ac:dyDescent="0.25">
      <c r="A127" s="31">
        <v>22</v>
      </c>
      <c r="B127" s="1" t="s">
        <v>235</v>
      </c>
      <c r="C127" s="2" t="s">
        <v>236</v>
      </c>
      <c r="D127" s="3"/>
      <c r="E127" s="3"/>
      <c r="F127" s="3"/>
      <c r="G127" s="3"/>
      <c r="H127" s="3"/>
      <c r="I127" s="3"/>
      <c r="J127" s="4">
        <f>SUM(J128)</f>
        <v>3</v>
      </c>
      <c r="K127" s="4">
        <f>SUM(K128)</f>
        <v>3</v>
      </c>
    </row>
    <row r="128" spans="1:11" x14ac:dyDescent="0.25">
      <c r="A128" s="43"/>
      <c r="B128" s="5"/>
      <c r="C128" s="6"/>
      <c r="D128" s="38">
        <v>971523</v>
      </c>
      <c r="E128" s="5" t="s">
        <v>237</v>
      </c>
      <c r="F128" s="9">
        <v>3</v>
      </c>
      <c r="G128" s="9">
        <v>3</v>
      </c>
      <c r="H128" s="10" t="s">
        <v>156</v>
      </c>
      <c r="I128" s="42" t="s">
        <v>20</v>
      </c>
      <c r="J128" s="9">
        <v>3</v>
      </c>
      <c r="K128" s="9">
        <v>3</v>
      </c>
    </row>
    <row r="129" spans="1:11" ht="15.75" x14ac:dyDescent="0.25">
      <c r="A129" s="31">
        <v>23</v>
      </c>
      <c r="B129" s="1" t="s">
        <v>238</v>
      </c>
      <c r="C129" s="2" t="s">
        <v>239</v>
      </c>
      <c r="D129" s="3"/>
      <c r="E129" s="3"/>
      <c r="F129" s="3"/>
      <c r="G129" s="3"/>
      <c r="H129" s="3"/>
      <c r="I129" s="3"/>
      <c r="J129" s="4">
        <f>SUM(J130)</f>
        <v>3</v>
      </c>
      <c r="K129" s="4">
        <f>SUM(K130)</f>
        <v>3</v>
      </c>
    </row>
    <row r="130" spans="1:11" x14ac:dyDescent="0.25">
      <c r="A130" s="43"/>
      <c r="B130" s="5"/>
      <c r="C130" s="6"/>
      <c r="D130" s="38">
        <v>971523</v>
      </c>
      <c r="E130" s="5" t="s">
        <v>237</v>
      </c>
      <c r="F130" s="9">
        <v>3</v>
      </c>
      <c r="G130" s="9">
        <v>3</v>
      </c>
      <c r="H130" s="10" t="s">
        <v>158</v>
      </c>
      <c r="I130" s="42" t="s">
        <v>20</v>
      </c>
      <c r="J130" s="9">
        <v>3</v>
      </c>
      <c r="K130" s="9">
        <v>3</v>
      </c>
    </row>
    <row r="131" spans="1:11" ht="15.75" x14ac:dyDescent="0.25">
      <c r="A131" s="31">
        <v>24</v>
      </c>
      <c r="B131" s="1" t="s">
        <v>240</v>
      </c>
      <c r="C131" s="2" t="s">
        <v>241</v>
      </c>
      <c r="D131" s="3"/>
      <c r="E131" s="3"/>
      <c r="F131" s="3"/>
      <c r="G131" s="3"/>
      <c r="H131" s="3"/>
      <c r="I131" s="3"/>
      <c r="J131" s="4">
        <f>SUM(J132)</f>
        <v>3</v>
      </c>
      <c r="K131" s="4">
        <f>SUM(K132)</f>
        <v>3</v>
      </c>
    </row>
    <row r="132" spans="1:11" ht="30" x14ac:dyDescent="0.25">
      <c r="A132" s="43"/>
      <c r="B132" s="5"/>
      <c r="C132" s="6"/>
      <c r="D132" s="38">
        <v>970473</v>
      </c>
      <c r="E132" s="5" t="s">
        <v>231</v>
      </c>
      <c r="F132" s="9">
        <v>3</v>
      </c>
      <c r="G132" s="9">
        <v>3</v>
      </c>
      <c r="H132" s="10" t="s">
        <v>157</v>
      </c>
      <c r="I132" s="42" t="s">
        <v>20</v>
      </c>
      <c r="J132" s="9">
        <v>3</v>
      </c>
      <c r="K132" s="9">
        <v>3</v>
      </c>
    </row>
    <row r="133" spans="1:11" ht="15.75" x14ac:dyDescent="0.25">
      <c r="A133" s="31">
        <v>25</v>
      </c>
      <c r="B133" s="1" t="s">
        <v>242</v>
      </c>
      <c r="C133" s="2" t="s">
        <v>243</v>
      </c>
      <c r="D133" s="3"/>
      <c r="E133" s="3"/>
      <c r="F133" s="3"/>
      <c r="G133" s="3"/>
      <c r="H133" s="3"/>
      <c r="I133" s="3"/>
      <c r="J133" s="4">
        <f>SUM(J134)</f>
        <v>3</v>
      </c>
      <c r="K133" s="4">
        <f>SUM(K134)</f>
        <v>3</v>
      </c>
    </row>
    <row r="134" spans="1:11" x14ac:dyDescent="0.25">
      <c r="A134" s="43"/>
      <c r="B134" s="5"/>
      <c r="C134" s="6"/>
      <c r="D134" s="38">
        <v>971523</v>
      </c>
      <c r="E134" s="5" t="s">
        <v>237</v>
      </c>
      <c r="F134" s="9">
        <v>3</v>
      </c>
      <c r="G134" s="9">
        <v>3</v>
      </c>
      <c r="H134" s="10" t="s">
        <v>157</v>
      </c>
      <c r="I134" s="42" t="s">
        <v>20</v>
      </c>
      <c r="J134" s="9">
        <v>3</v>
      </c>
      <c r="K134" s="9">
        <v>3</v>
      </c>
    </row>
    <row r="135" spans="1:11" ht="15.75" x14ac:dyDescent="0.25">
      <c r="A135" s="31">
        <v>26</v>
      </c>
      <c r="B135" s="1" t="s">
        <v>244</v>
      </c>
      <c r="C135" s="2" t="s">
        <v>245</v>
      </c>
      <c r="D135" s="3"/>
      <c r="E135" s="3"/>
      <c r="F135" s="3"/>
      <c r="G135" s="3"/>
      <c r="H135" s="3"/>
      <c r="I135" s="3"/>
      <c r="J135" s="4">
        <f>SUM(J136)</f>
        <v>3</v>
      </c>
      <c r="K135" s="4">
        <f>SUM(K136)</f>
        <v>3</v>
      </c>
    </row>
    <row r="136" spans="1:11" x14ac:dyDescent="0.25">
      <c r="A136" s="43"/>
      <c r="B136" s="5"/>
      <c r="C136" s="6"/>
      <c r="D136" s="38">
        <v>970503</v>
      </c>
      <c r="E136" s="5" t="s">
        <v>234</v>
      </c>
      <c r="F136" s="9">
        <v>3</v>
      </c>
      <c r="G136" s="9">
        <v>3</v>
      </c>
      <c r="H136" s="10" t="s">
        <v>157</v>
      </c>
      <c r="I136" s="42" t="s">
        <v>20</v>
      </c>
      <c r="J136" s="9">
        <v>3</v>
      </c>
      <c r="K136" s="9">
        <v>3</v>
      </c>
    </row>
    <row r="137" spans="1:11" ht="15.75" x14ac:dyDescent="0.25">
      <c r="A137" s="31">
        <v>27</v>
      </c>
      <c r="B137" s="1" t="s">
        <v>246</v>
      </c>
      <c r="C137" s="2" t="s">
        <v>247</v>
      </c>
      <c r="D137" s="3"/>
      <c r="E137" s="3"/>
      <c r="F137" s="3"/>
      <c r="G137" s="3"/>
      <c r="H137" s="3"/>
      <c r="I137" s="3"/>
      <c r="J137" s="4">
        <f>SUM(J138)</f>
        <v>3</v>
      </c>
      <c r="K137" s="4">
        <f>SUM(K138)</f>
        <v>3</v>
      </c>
    </row>
    <row r="138" spans="1:11" ht="30" x14ac:dyDescent="0.25">
      <c r="A138" s="43"/>
      <c r="B138" s="5"/>
      <c r="C138" s="6"/>
      <c r="D138" s="38">
        <v>970473</v>
      </c>
      <c r="E138" s="5" t="s">
        <v>231</v>
      </c>
      <c r="F138" s="9">
        <v>3</v>
      </c>
      <c r="G138" s="9">
        <v>3</v>
      </c>
      <c r="H138" s="10" t="s">
        <v>158</v>
      </c>
      <c r="I138" s="42" t="s">
        <v>20</v>
      </c>
      <c r="J138" s="9">
        <v>3</v>
      </c>
      <c r="K138" s="9">
        <v>3</v>
      </c>
    </row>
    <row r="139" spans="1:11" ht="15.75" x14ac:dyDescent="0.25">
      <c r="A139" s="31"/>
      <c r="B139" s="1" t="s">
        <v>248</v>
      </c>
      <c r="C139" s="2" t="s">
        <v>249</v>
      </c>
      <c r="D139" s="3"/>
      <c r="E139" s="3"/>
      <c r="F139" s="3"/>
      <c r="G139" s="3"/>
      <c r="H139" s="3"/>
      <c r="I139" s="3"/>
      <c r="J139" s="4">
        <f>SUM(J140)</f>
        <v>3</v>
      </c>
      <c r="K139" s="4">
        <f>SUM(K140)</f>
        <v>3</v>
      </c>
    </row>
    <row r="140" spans="1:11" x14ac:dyDescent="0.25">
      <c r="A140" s="43"/>
      <c r="B140" s="5"/>
      <c r="C140" s="6"/>
      <c r="D140" s="38">
        <v>970503</v>
      </c>
      <c r="E140" s="5" t="s">
        <v>234</v>
      </c>
      <c r="F140" s="9">
        <v>3</v>
      </c>
      <c r="G140" s="9">
        <v>3</v>
      </c>
      <c r="H140" s="10" t="s">
        <v>158</v>
      </c>
      <c r="I140" s="42" t="s">
        <v>20</v>
      </c>
      <c r="J140" s="9">
        <v>3</v>
      </c>
      <c r="K140" s="9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C22B-E209-45F9-9EC0-79DE1C74250F}">
  <dimension ref="A1:K133"/>
  <sheetViews>
    <sheetView topLeftCell="A91" zoomScale="85" zoomScaleNormal="85" workbookViewId="0">
      <selection activeCell="E133" sqref="E133"/>
    </sheetView>
  </sheetViews>
  <sheetFormatPr defaultRowHeight="14.25" x14ac:dyDescent="0.2"/>
  <cols>
    <col min="1" max="2" width="9.140625" style="33"/>
    <col min="3" max="3" width="43.42578125" style="33" customWidth="1"/>
    <col min="4" max="4" width="9.140625" style="33"/>
    <col min="5" max="5" width="41.140625" style="33" customWidth="1"/>
    <col min="6" max="7" width="9.140625" style="33"/>
    <col min="8" max="8" width="14" style="33" customWidth="1"/>
    <col min="9" max="16384" width="9.140625" style="33"/>
  </cols>
  <sheetData>
    <row r="1" spans="1:11" ht="40.5" x14ac:dyDescent="0.3">
      <c r="A1" s="32" t="s">
        <v>22</v>
      </c>
      <c r="B1" s="32" t="s">
        <v>0</v>
      </c>
      <c r="C1" s="32" t="s">
        <v>1</v>
      </c>
      <c r="D1" s="32" t="s">
        <v>1</v>
      </c>
      <c r="E1" s="32" t="s">
        <v>2</v>
      </c>
      <c r="F1" s="32" t="s">
        <v>3</v>
      </c>
      <c r="G1" s="32" t="s">
        <v>4</v>
      </c>
      <c r="H1" s="32" t="s">
        <v>5</v>
      </c>
      <c r="I1" s="32" t="s">
        <v>6</v>
      </c>
      <c r="J1" s="32" t="s">
        <v>7</v>
      </c>
      <c r="K1" s="32" t="s">
        <v>8</v>
      </c>
    </row>
    <row r="2" spans="1:11" ht="15.75" x14ac:dyDescent="0.25">
      <c r="A2" s="1">
        <v>1</v>
      </c>
      <c r="B2" s="1" t="s">
        <v>23</v>
      </c>
      <c r="C2" s="2" t="s">
        <v>24</v>
      </c>
      <c r="D2" s="12"/>
      <c r="E2" s="12"/>
      <c r="F2" s="12"/>
      <c r="G2" s="12"/>
      <c r="H2" s="12"/>
      <c r="I2" s="12"/>
      <c r="J2" s="4">
        <f>SUM(J3:J11)</f>
        <v>14</v>
      </c>
      <c r="K2" s="4">
        <f>SUM(K3:K11)</f>
        <v>22</v>
      </c>
    </row>
    <row r="3" spans="1:11" x14ac:dyDescent="0.2">
      <c r="A3" s="6"/>
      <c r="B3" s="6"/>
      <c r="C3" s="6" t="s">
        <v>25</v>
      </c>
      <c r="D3" s="7">
        <v>1111082</v>
      </c>
      <c r="E3" s="8" t="s">
        <v>78</v>
      </c>
      <c r="F3" s="7">
        <v>2</v>
      </c>
      <c r="G3" s="9">
        <v>4</v>
      </c>
      <c r="H3" s="9" t="s">
        <v>19</v>
      </c>
      <c r="I3" s="9" t="s">
        <v>12</v>
      </c>
      <c r="J3" s="9">
        <v>2</v>
      </c>
      <c r="K3" s="9">
        <v>4</v>
      </c>
    </row>
    <row r="4" spans="1:11" x14ac:dyDescent="0.2">
      <c r="A4" s="6"/>
      <c r="B4" s="6"/>
      <c r="C4" s="6" t="s">
        <v>26</v>
      </c>
      <c r="D4" s="6"/>
      <c r="E4" s="6"/>
      <c r="F4" s="6"/>
      <c r="G4" s="6"/>
      <c r="H4" s="6"/>
      <c r="I4" s="6"/>
      <c r="J4" s="6"/>
      <c r="K4" s="6"/>
    </row>
    <row r="5" spans="1:11" x14ac:dyDescent="0.2">
      <c r="A5" s="6"/>
      <c r="B5" s="6"/>
      <c r="C5" s="6"/>
      <c r="D5" s="9">
        <v>1151402</v>
      </c>
      <c r="E5" s="6" t="s">
        <v>79</v>
      </c>
      <c r="F5" s="9">
        <v>2</v>
      </c>
      <c r="G5" s="9">
        <v>4</v>
      </c>
      <c r="H5" s="9" t="s">
        <v>16</v>
      </c>
      <c r="I5" s="9" t="s">
        <v>12</v>
      </c>
      <c r="J5" s="9">
        <v>2</v>
      </c>
      <c r="K5" s="9">
        <v>4</v>
      </c>
    </row>
    <row r="6" spans="1:11" x14ac:dyDescent="0.2">
      <c r="A6" s="6"/>
      <c r="B6" s="6"/>
      <c r="C6" s="6"/>
      <c r="D6" s="13"/>
      <c r="E6" s="13"/>
      <c r="F6" s="9">
        <v>2</v>
      </c>
      <c r="G6" s="9">
        <v>4</v>
      </c>
      <c r="H6" s="9" t="s">
        <v>27</v>
      </c>
      <c r="I6" s="9" t="s">
        <v>12</v>
      </c>
      <c r="J6" s="9">
        <v>2</v>
      </c>
      <c r="K6" s="9">
        <v>4</v>
      </c>
    </row>
    <row r="7" spans="1:11" x14ac:dyDescent="0.2">
      <c r="A7" s="6"/>
      <c r="B7" s="6"/>
      <c r="C7" s="6"/>
      <c r="D7" s="6"/>
      <c r="E7" s="6"/>
      <c r="F7" s="9">
        <v>2</v>
      </c>
      <c r="G7" s="9">
        <v>4</v>
      </c>
      <c r="H7" s="9" t="s">
        <v>77</v>
      </c>
      <c r="I7" s="9" t="s">
        <v>12</v>
      </c>
      <c r="J7" s="9">
        <v>2</v>
      </c>
      <c r="K7" s="9">
        <v>4</v>
      </c>
    </row>
    <row r="8" spans="1:11" x14ac:dyDescent="0.2">
      <c r="A8" s="6"/>
      <c r="B8" s="6"/>
      <c r="C8" s="6"/>
      <c r="D8" s="8"/>
      <c r="E8" s="8"/>
      <c r="F8" s="8"/>
      <c r="G8" s="8"/>
      <c r="H8" s="8"/>
      <c r="I8" s="8"/>
      <c r="J8" s="8"/>
      <c r="K8" s="8"/>
    </row>
    <row r="9" spans="1:11" x14ac:dyDescent="0.2">
      <c r="A9" s="6"/>
      <c r="B9" s="6"/>
      <c r="C9" s="6"/>
      <c r="D9" s="9">
        <v>52</v>
      </c>
      <c r="E9" s="6" t="s">
        <v>80</v>
      </c>
      <c r="F9" s="9">
        <v>2</v>
      </c>
      <c r="G9" s="9">
        <v>2</v>
      </c>
      <c r="H9" s="9" t="s">
        <v>16</v>
      </c>
      <c r="I9" s="9" t="s">
        <v>12</v>
      </c>
      <c r="J9" s="9">
        <v>2</v>
      </c>
      <c r="K9" s="9">
        <v>2</v>
      </c>
    </row>
    <row r="10" spans="1:11" x14ac:dyDescent="0.2">
      <c r="A10" s="6"/>
      <c r="B10" s="6"/>
      <c r="C10" s="6"/>
      <c r="D10" s="6"/>
      <c r="E10" s="6"/>
      <c r="F10" s="9">
        <v>2</v>
      </c>
      <c r="G10" s="9">
        <v>2</v>
      </c>
      <c r="H10" s="9" t="s">
        <v>27</v>
      </c>
      <c r="I10" s="9" t="s">
        <v>12</v>
      </c>
      <c r="J10" s="9">
        <v>2</v>
      </c>
      <c r="K10" s="9">
        <v>2</v>
      </c>
    </row>
    <row r="11" spans="1:11" x14ac:dyDescent="0.2">
      <c r="A11" s="6"/>
      <c r="B11" s="6"/>
      <c r="C11" s="6"/>
      <c r="D11" s="6"/>
      <c r="E11" s="6"/>
      <c r="F11" s="9">
        <v>2</v>
      </c>
      <c r="G11" s="9">
        <v>2</v>
      </c>
      <c r="H11" s="9" t="s">
        <v>77</v>
      </c>
      <c r="I11" s="9" t="s">
        <v>12</v>
      </c>
      <c r="J11" s="9">
        <v>2</v>
      </c>
      <c r="K11" s="9">
        <v>2</v>
      </c>
    </row>
    <row r="12" spans="1:11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</row>
    <row r="13" spans="1:11" ht="15.75" x14ac:dyDescent="0.25">
      <c r="A13" s="1">
        <v>2</v>
      </c>
      <c r="B13" s="1" t="s">
        <v>28</v>
      </c>
      <c r="C13" s="12" t="s">
        <v>29</v>
      </c>
      <c r="D13" s="12"/>
      <c r="E13" s="12"/>
      <c r="F13" s="12"/>
      <c r="G13" s="12"/>
      <c r="H13" s="12"/>
      <c r="I13" s="12"/>
      <c r="J13" s="4">
        <f>SUM(J14:J20)</f>
        <v>12</v>
      </c>
      <c r="K13" s="4">
        <f>SUM(K14:K20)</f>
        <v>12</v>
      </c>
    </row>
    <row r="14" spans="1:11" x14ac:dyDescent="0.2">
      <c r="A14" s="6"/>
      <c r="B14" s="6"/>
      <c r="C14" s="6" t="s">
        <v>30</v>
      </c>
      <c r="D14" s="9">
        <v>1130172</v>
      </c>
      <c r="E14" s="6" t="s">
        <v>31</v>
      </c>
      <c r="F14" s="9">
        <v>2</v>
      </c>
      <c r="G14" s="9">
        <v>2</v>
      </c>
      <c r="H14" s="9" t="s">
        <v>11</v>
      </c>
      <c r="I14" s="9" t="s">
        <v>12</v>
      </c>
      <c r="J14" s="9">
        <v>2</v>
      </c>
      <c r="K14" s="9">
        <v>2</v>
      </c>
    </row>
    <row r="15" spans="1:11" x14ac:dyDescent="0.2">
      <c r="A15" s="6"/>
      <c r="B15" s="6"/>
      <c r="C15" s="6" t="s">
        <v>32</v>
      </c>
      <c r="D15" s="6"/>
      <c r="E15" s="6"/>
      <c r="F15" s="9">
        <v>2</v>
      </c>
      <c r="G15" s="9">
        <v>2</v>
      </c>
      <c r="H15" s="9" t="s">
        <v>13</v>
      </c>
      <c r="I15" s="9" t="s">
        <v>12</v>
      </c>
      <c r="J15" s="9">
        <v>2</v>
      </c>
      <c r="K15" s="9">
        <v>2</v>
      </c>
    </row>
    <row r="16" spans="1:11" x14ac:dyDescent="0.2">
      <c r="A16" s="6"/>
      <c r="B16" s="6"/>
      <c r="C16" s="6"/>
      <c r="D16" s="6"/>
      <c r="E16" s="13"/>
      <c r="F16" s="9">
        <v>2</v>
      </c>
      <c r="G16" s="9">
        <v>2</v>
      </c>
      <c r="H16" s="9" t="s">
        <v>14</v>
      </c>
      <c r="I16" s="9" t="s">
        <v>12</v>
      </c>
      <c r="J16" s="9">
        <v>2</v>
      </c>
      <c r="K16" s="9">
        <v>2</v>
      </c>
    </row>
    <row r="17" spans="1:11" x14ac:dyDescent="0.2">
      <c r="A17" s="6"/>
      <c r="B17" s="6"/>
      <c r="C17" s="6"/>
      <c r="D17" s="6"/>
      <c r="E17" s="13"/>
      <c r="F17" s="6"/>
      <c r="G17" s="6"/>
      <c r="H17" s="6"/>
      <c r="I17" s="6"/>
      <c r="J17" s="6"/>
      <c r="K17" s="6"/>
    </row>
    <row r="18" spans="1:11" x14ac:dyDescent="0.2">
      <c r="A18" s="6"/>
      <c r="B18" s="6"/>
      <c r="C18" s="6"/>
      <c r="D18" s="9">
        <v>1130182</v>
      </c>
      <c r="E18" s="6" t="s">
        <v>33</v>
      </c>
      <c r="F18" s="9">
        <v>2</v>
      </c>
      <c r="G18" s="9">
        <v>2</v>
      </c>
      <c r="H18" s="9" t="s">
        <v>11</v>
      </c>
      <c r="I18" s="9" t="s">
        <v>12</v>
      </c>
      <c r="J18" s="9">
        <v>2</v>
      </c>
      <c r="K18" s="9">
        <v>2</v>
      </c>
    </row>
    <row r="19" spans="1:11" x14ac:dyDescent="0.2">
      <c r="A19" s="6"/>
      <c r="B19" s="6"/>
      <c r="C19" s="6"/>
      <c r="D19" s="6"/>
      <c r="E19" s="6"/>
      <c r="F19" s="9">
        <v>2</v>
      </c>
      <c r="G19" s="9">
        <v>2</v>
      </c>
      <c r="H19" s="9" t="s">
        <v>13</v>
      </c>
      <c r="I19" s="9" t="s">
        <v>12</v>
      </c>
      <c r="J19" s="9">
        <v>2</v>
      </c>
      <c r="K19" s="9">
        <v>2</v>
      </c>
    </row>
    <row r="20" spans="1:11" x14ac:dyDescent="0.2">
      <c r="A20" s="6"/>
      <c r="B20" s="6"/>
      <c r="C20" s="6"/>
      <c r="D20" s="6"/>
      <c r="E20" s="6"/>
      <c r="F20" s="9">
        <v>2</v>
      </c>
      <c r="G20" s="9">
        <v>2</v>
      </c>
      <c r="H20" s="9" t="s">
        <v>14</v>
      </c>
      <c r="I20" s="9" t="s">
        <v>12</v>
      </c>
      <c r="J20" s="9">
        <v>2</v>
      </c>
      <c r="K20" s="9">
        <v>2</v>
      </c>
    </row>
    <row r="21" spans="1:11" x14ac:dyDescent="0.2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</row>
    <row r="22" spans="1:11" ht="15.75" x14ac:dyDescent="0.25">
      <c r="A22" s="1">
        <v>3</v>
      </c>
      <c r="B22" s="1" t="s">
        <v>34</v>
      </c>
      <c r="C22" s="12" t="s">
        <v>35</v>
      </c>
      <c r="D22" s="12"/>
      <c r="E22" s="12"/>
      <c r="F22" s="12"/>
      <c r="G22" s="12"/>
      <c r="H22" s="12"/>
      <c r="I22" s="12"/>
      <c r="J22" s="4">
        <f>SUM(J23:J29)</f>
        <v>12</v>
      </c>
      <c r="K22" s="4">
        <f>SUM(K23:K29)</f>
        <v>24</v>
      </c>
    </row>
    <row r="23" spans="1:11" x14ac:dyDescent="0.2">
      <c r="A23" s="6"/>
      <c r="B23" s="6"/>
      <c r="C23" s="6" t="s">
        <v>36</v>
      </c>
      <c r="D23" s="9">
        <v>1111073</v>
      </c>
      <c r="E23" s="6" t="s">
        <v>81</v>
      </c>
      <c r="F23" s="9">
        <v>2</v>
      </c>
      <c r="G23" s="9">
        <v>4</v>
      </c>
      <c r="H23" s="9" t="s">
        <v>17</v>
      </c>
      <c r="I23" s="9" t="s">
        <v>12</v>
      </c>
      <c r="J23" s="9">
        <v>2</v>
      </c>
      <c r="K23" s="9">
        <v>4</v>
      </c>
    </row>
    <row r="24" spans="1:11" x14ac:dyDescent="0.2">
      <c r="A24" s="6"/>
      <c r="B24" s="6"/>
      <c r="C24" s="6" t="s">
        <v>37</v>
      </c>
      <c r="D24" s="6"/>
      <c r="E24" s="13"/>
      <c r="F24" s="9">
        <v>2</v>
      </c>
      <c r="G24" s="9">
        <v>4</v>
      </c>
      <c r="H24" s="9" t="s">
        <v>18</v>
      </c>
      <c r="I24" s="9" t="s">
        <v>12</v>
      </c>
      <c r="J24" s="9">
        <v>2</v>
      </c>
      <c r="K24" s="9">
        <v>4</v>
      </c>
    </row>
    <row r="25" spans="1:11" x14ac:dyDescent="0.2">
      <c r="A25" s="6"/>
      <c r="B25" s="6"/>
      <c r="C25" s="8"/>
      <c r="D25" s="6"/>
      <c r="E25" s="6"/>
      <c r="F25" s="9">
        <v>2</v>
      </c>
      <c r="G25" s="9">
        <v>4</v>
      </c>
      <c r="H25" s="9" t="s">
        <v>19</v>
      </c>
      <c r="I25" s="9" t="s">
        <v>12</v>
      </c>
      <c r="J25" s="9">
        <v>2</v>
      </c>
      <c r="K25" s="9">
        <v>4</v>
      </c>
    </row>
    <row r="26" spans="1:11" x14ac:dyDescent="0.2">
      <c r="A26" s="6"/>
      <c r="B26" s="6"/>
      <c r="C26" s="6"/>
      <c r="D26" s="6"/>
      <c r="E26" s="13"/>
      <c r="F26" s="6"/>
      <c r="G26" s="6"/>
      <c r="H26" s="6"/>
      <c r="I26" s="6"/>
      <c r="J26" s="6"/>
      <c r="K26" s="6"/>
    </row>
    <row r="27" spans="1:11" x14ac:dyDescent="0.2">
      <c r="A27" s="6"/>
      <c r="B27" s="6"/>
      <c r="C27" s="6"/>
      <c r="D27" s="9">
        <v>1131193</v>
      </c>
      <c r="E27" s="6" t="s">
        <v>82</v>
      </c>
      <c r="F27" s="9">
        <v>2</v>
      </c>
      <c r="G27" s="9">
        <v>4</v>
      </c>
      <c r="H27" s="9" t="s">
        <v>11</v>
      </c>
      <c r="I27" s="9" t="s">
        <v>12</v>
      </c>
      <c r="J27" s="9">
        <v>2</v>
      </c>
      <c r="K27" s="9">
        <v>4</v>
      </c>
    </row>
    <row r="28" spans="1:11" x14ac:dyDescent="0.2">
      <c r="A28" s="6"/>
      <c r="B28" s="6"/>
      <c r="C28" s="6"/>
      <c r="D28" s="6"/>
      <c r="E28" s="6"/>
      <c r="F28" s="9">
        <v>2</v>
      </c>
      <c r="G28" s="9">
        <v>4</v>
      </c>
      <c r="H28" s="9" t="s">
        <v>13</v>
      </c>
      <c r="I28" s="9" t="s">
        <v>12</v>
      </c>
      <c r="J28" s="9">
        <v>2</v>
      </c>
      <c r="K28" s="9">
        <v>4</v>
      </c>
    </row>
    <row r="29" spans="1:11" x14ac:dyDescent="0.2">
      <c r="A29" s="6"/>
      <c r="B29" s="6"/>
      <c r="C29" s="6"/>
      <c r="D29" s="6"/>
      <c r="E29" s="6"/>
      <c r="F29" s="9">
        <v>2</v>
      </c>
      <c r="G29" s="9">
        <v>4</v>
      </c>
      <c r="H29" s="9" t="s">
        <v>14</v>
      </c>
      <c r="I29" s="9" t="s">
        <v>12</v>
      </c>
      <c r="J29" s="9">
        <v>2</v>
      </c>
      <c r="K29" s="9">
        <v>4</v>
      </c>
    </row>
    <row r="30" spans="1:11" x14ac:dyDescent="0.2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</row>
    <row r="31" spans="1:11" ht="15.75" x14ac:dyDescent="0.25">
      <c r="A31" s="1">
        <v>4</v>
      </c>
      <c r="B31" s="1" t="s">
        <v>38</v>
      </c>
      <c r="C31" s="12" t="s">
        <v>39</v>
      </c>
      <c r="D31" s="12"/>
      <c r="E31" s="12"/>
      <c r="F31" s="12"/>
      <c r="G31" s="12"/>
      <c r="H31" s="12"/>
      <c r="I31" s="12"/>
      <c r="J31" s="4">
        <f>SUM(J32:J38)</f>
        <v>12</v>
      </c>
      <c r="K31" s="4">
        <f>SUM(K32:K38)</f>
        <v>18</v>
      </c>
    </row>
    <row r="32" spans="1:11" x14ac:dyDescent="0.2">
      <c r="A32" s="6"/>
      <c r="B32" s="6"/>
      <c r="C32" s="6" t="s">
        <v>40</v>
      </c>
      <c r="D32" s="9">
        <v>1111063</v>
      </c>
      <c r="E32" s="6" t="s">
        <v>83</v>
      </c>
      <c r="F32" s="9">
        <v>2</v>
      </c>
      <c r="G32" s="9">
        <v>4</v>
      </c>
      <c r="H32" s="9" t="s">
        <v>17</v>
      </c>
      <c r="I32" s="9" t="s">
        <v>12</v>
      </c>
      <c r="J32" s="9">
        <v>2</v>
      </c>
      <c r="K32" s="9">
        <v>4</v>
      </c>
    </row>
    <row r="33" spans="1:11" x14ac:dyDescent="0.2">
      <c r="A33" s="6"/>
      <c r="B33" s="6"/>
      <c r="C33" s="6" t="s">
        <v>41</v>
      </c>
      <c r="D33" s="6"/>
      <c r="E33" s="6"/>
      <c r="F33" s="9">
        <v>2</v>
      </c>
      <c r="G33" s="9">
        <v>4</v>
      </c>
      <c r="H33" s="9" t="s">
        <v>18</v>
      </c>
      <c r="I33" s="9" t="s">
        <v>12</v>
      </c>
      <c r="J33" s="9">
        <v>2</v>
      </c>
      <c r="K33" s="9">
        <v>4</v>
      </c>
    </row>
    <row r="34" spans="1:11" x14ac:dyDescent="0.2">
      <c r="A34" s="6"/>
      <c r="B34" s="6"/>
      <c r="C34" s="6"/>
      <c r="D34" s="6"/>
      <c r="E34" s="6"/>
      <c r="F34" s="9">
        <v>2</v>
      </c>
      <c r="G34" s="9">
        <v>4</v>
      </c>
      <c r="H34" s="9" t="s">
        <v>19</v>
      </c>
      <c r="I34" s="9" t="s">
        <v>12</v>
      </c>
      <c r="J34" s="9">
        <v>2</v>
      </c>
      <c r="K34" s="9">
        <v>4</v>
      </c>
    </row>
    <row r="35" spans="1:11" x14ac:dyDescent="0.2">
      <c r="A35" s="6"/>
      <c r="B35" s="6"/>
      <c r="C35" s="6"/>
      <c r="D35" s="6"/>
      <c r="E35" s="13"/>
      <c r="F35" s="6"/>
      <c r="G35" s="6"/>
      <c r="H35" s="6"/>
      <c r="I35" s="6"/>
      <c r="J35" s="6"/>
      <c r="K35" s="6"/>
    </row>
    <row r="36" spans="1:11" x14ac:dyDescent="0.2">
      <c r="A36" s="6"/>
      <c r="B36" s="6"/>
      <c r="C36" s="6"/>
      <c r="D36" s="9">
        <v>1130152</v>
      </c>
      <c r="E36" s="6" t="s">
        <v>84</v>
      </c>
      <c r="F36" s="9">
        <v>2</v>
      </c>
      <c r="G36" s="9">
        <v>2</v>
      </c>
      <c r="H36" s="9" t="s">
        <v>11</v>
      </c>
      <c r="I36" s="9" t="s">
        <v>12</v>
      </c>
      <c r="J36" s="9">
        <v>2</v>
      </c>
      <c r="K36" s="9">
        <v>2</v>
      </c>
    </row>
    <row r="37" spans="1:11" x14ac:dyDescent="0.2">
      <c r="A37" s="6"/>
      <c r="B37" s="6"/>
      <c r="C37" s="6"/>
      <c r="D37" s="6"/>
      <c r="E37" s="6"/>
      <c r="F37" s="9">
        <v>2</v>
      </c>
      <c r="G37" s="9">
        <v>2</v>
      </c>
      <c r="H37" s="9" t="s">
        <v>13</v>
      </c>
      <c r="I37" s="9" t="s">
        <v>12</v>
      </c>
      <c r="J37" s="9">
        <v>2</v>
      </c>
      <c r="K37" s="9">
        <v>2</v>
      </c>
    </row>
    <row r="38" spans="1:11" x14ac:dyDescent="0.2">
      <c r="A38" s="6"/>
      <c r="B38" s="6"/>
      <c r="C38" s="6"/>
      <c r="D38" s="6"/>
      <c r="E38" s="13"/>
      <c r="F38" s="9">
        <v>2</v>
      </c>
      <c r="G38" s="9">
        <v>2</v>
      </c>
      <c r="H38" s="9" t="s">
        <v>14</v>
      </c>
      <c r="I38" s="9" t="s">
        <v>12</v>
      </c>
      <c r="J38" s="9">
        <v>2</v>
      </c>
      <c r="K38" s="9">
        <v>2</v>
      </c>
    </row>
    <row r="39" spans="1:11" x14ac:dyDescent="0.2">
      <c r="A39" s="6"/>
      <c r="B39" s="6"/>
      <c r="C39" s="6"/>
      <c r="D39" s="6"/>
      <c r="E39" s="13"/>
      <c r="F39" s="6"/>
      <c r="G39" s="6"/>
      <c r="H39" s="6"/>
      <c r="I39" s="6"/>
      <c r="J39" s="6"/>
      <c r="K39" s="6"/>
    </row>
    <row r="40" spans="1:11" ht="15.75" x14ac:dyDescent="0.25">
      <c r="A40" s="1">
        <v>5</v>
      </c>
      <c r="B40" s="1" t="s">
        <v>85</v>
      </c>
      <c r="C40" s="12" t="s">
        <v>42</v>
      </c>
      <c r="D40" s="12"/>
      <c r="E40" s="12"/>
      <c r="F40" s="12"/>
      <c r="G40" s="12"/>
      <c r="H40" s="12"/>
      <c r="I40" s="12"/>
      <c r="J40" s="4">
        <f>SUM(J41:J48)</f>
        <v>16</v>
      </c>
      <c r="K40" s="4">
        <f>SUM(K41:K48)</f>
        <v>16</v>
      </c>
    </row>
    <row r="41" spans="1:11" x14ac:dyDescent="0.2">
      <c r="A41" s="6"/>
      <c r="B41" s="6"/>
      <c r="C41" s="6" t="s">
        <v>43</v>
      </c>
      <c r="D41" s="9">
        <v>1110042</v>
      </c>
      <c r="E41" s="6" t="s">
        <v>86</v>
      </c>
      <c r="F41" s="9">
        <v>2</v>
      </c>
      <c r="G41" s="9">
        <v>2</v>
      </c>
      <c r="H41" s="9" t="s">
        <v>17</v>
      </c>
      <c r="I41" s="9" t="s">
        <v>12</v>
      </c>
      <c r="J41" s="9">
        <v>2</v>
      </c>
      <c r="K41" s="9">
        <v>2</v>
      </c>
    </row>
    <row r="42" spans="1:11" x14ac:dyDescent="0.2">
      <c r="A42" s="6"/>
      <c r="B42" s="6"/>
      <c r="C42" s="6" t="s">
        <v>44</v>
      </c>
      <c r="D42" s="6"/>
      <c r="E42" s="6"/>
      <c r="F42" s="9">
        <v>2</v>
      </c>
      <c r="G42" s="9">
        <v>2</v>
      </c>
      <c r="H42" s="9" t="s">
        <v>18</v>
      </c>
      <c r="I42" s="9" t="s">
        <v>12</v>
      </c>
      <c r="J42" s="9">
        <v>2</v>
      </c>
      <c r="K42" s="9">
        <v>2</v>
      </c>
    </row>
    <row r="43" spans="1:11" x14ac:dyDescent="0.2">
      <c r="A43" s="6"/>
      <c r="B43" s="6"/>
      <c r="C43" s="6"/>
      <c r="D43" s="6"/>
      <c r="E43" s="6"/>
      <c r="F43" s="9">
        <v>2</v>
      </c>
      <c r="G43" s="9">
        <v>2</v>
      </c>
      <c r="H43" s="9" t="s">
        <v>19</v>
      </c>
      <c r="I43" s="9" t="s">
        <v>12</v>
      </c>
      <c r="J43" s="9">
        <v>2</v>
      </c>
      <c r="K43" s="9">
        <v>2</v>
      </c>
    </row>
    <row r="44" spans="1:11" ht="15" x14ac:dyDescent="0.2">
      <c r="A44" s="6"/>
      <c r="B44" s="6"/>
      <c r="C44" s="6"/>
      <c r="D44" s="39" t="s">
        <v>141</v>
      </c>
      <c r="E44" s="13" t="s">
        <v>75</v>
      </c>
      <c r="F44" s="9">
        <v>2</v>
      </c>
      <c r="G44" s="9">
        <v>2</v>
      </c>
      <c r="H44" s="34" t="s">
        <v>53</v>
      </c>
      <c r="I44" s="9" t="s">
        <v>54</v>
      </c>
      <c r="J44" s="9">
        <v>2</v>
      </c>
      <c r="K44" s="9">
        <v>2</v>
      </c>
    </row>
    <row r="45" spans="1:11" ht="15" x14ac:dyDescent="0.2">
      <c r="A45" s="6"/>
      <c r="B45" s="6"/>
      <c r="C45" s="6"/>
      <c r="D45" s="13"/>
      <c r="E45" s="13"/>
      <c r="F45" s="9">
        <v>2</v>
      </c>
      <c r="G45" s="9">
        <v>2</v>
      </c>
      <c r="H45" s="34" t="s">
        <v>55</v>
      </c>
      <c r="I45" s="9" t="s">
        <v>54</v>
      </c>
      <c r="J45" s="9">
        <v>2</v>
      </c>
      <c r="K45" s="9">
        <v>2</v>
      </c>
    </row>
    <row r="46" spans="1:11" ht="28.5" x14ac:dyDescent="0.2">
      <c r="A46" s="6"/>
      <c r="B46" s="6"/>
      <c r="C46" s="6"/>
      <c r="D46" s="39" t="s">
        <v>141</v>
      </c>
      <c r="E46" s="13" t="s">
        <v>87</v>
      </c>
      <c r="F46" s="9">
        <v>2</v>
      </c>
      <c r="G46" s="9">
        <v>2</v>
      </c>
      <c r="H46" s="9" t="s">
        <v>70</v>
      </c>
      <c r="I46" s="9" t="s">
        <v>20</v>
      </c>
      <c r="J46" s="9">
        <v>2</v>
      </c>
      <c r="K46" s="9">
        <v>2</v>
      </c>
    </row>
    <row r="47" spans="1:11" x14ac:dyDescent="0.2">
      <c r="A47" s="6"/>
      <c r="B47" s="6"/>
      <c r="C47" s="6"/>
      <c r="D47" s="6"/>
      <c r="E47" s="13"/>
      <c r="F47" s="9">
        <v>2</v>
      </c>
      <c r="G47" s="9">
        <v>2</v>
      </c>
      <c r="H47" s="9" t="s">
        <v>71</v>
      </c>
      <c r="I47" s="9" t="s">
        <v>20</v>
      </c>
      <c r="J47" s="9">
        <v>2</v>
      </c>
      <c r="K47" s="9">
        <v>2</v>
      </c>
    </row>
    <row r="48" spans="1:11" x14ac:dyDescent="0.2">
      <c r="A48" s="6"/>
      <c r="B48" s="6"/>
      <c r="C48" s="6"/>
      <c r="D48" s="6"/>
      <c r="E48" s="13"/>
      <c r="F48" s="9">
        <v>2</v>
      </c>
      <c r="G48" s="9">
        <v>2</v>
      </c>
      <c r="H48" s="9" t="s">
        <v>72</v>
      </c>
      <c r="I48" s="9" t="s">
        <v>20</v>
      </c>
      <c r="J48" s="9">
        <v>2</v>
      </c>
      <c r="K48" s="9">
        <v>2</v>
      </c>
    </row>
    <row r="49" spans="1:11" x14ac:dyDescent="0.2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</row>
    <row r="50" spans="1:11" ht="15.75" x14ac:dyDescent="0.25">
      <c r="A50" s="1">
        <v>6</v>
      </c>
      <c r="B50" s="1" t="s">
        <v>88</v>
      </c>
      <c r="C50" s="12" t="s">
        <v>45</v>
      </c>
      <c r="D50" s="12"/>
      <c r="E50" s="12"/>
      <c r="F50" s="12"/>
      <c r="G50" s="12"/>
      <c r="H50" s="12"/>
      <c r="I50" s="12"/>
      <c r="J50" s="4">
        <f>SUM(J51:J57)</f>
        <v>12</v>
      </c>
      <c r="K50" s="4">
        <f>SUM(K51:K57)</f>
        <v>18</v>
      </c>
    </row>
    <row r="51" spans="1:11" x14ac:dyDescent="0.2">
      <c r="A51" s="6"/>
      <c r="B51" s="6"/>
      <c r="C51" s="6" t="s">
        <v>46</v>
      </c>
      <c r="D51" s="9">
        <v>1110022</v>
      </c>
      <c r="E51" s="6" t="s">
        <v>89</v>
      </c>
      <c r="F51" s="9">
        <v>2</v>
      </c>
      <c r="G51" s="9">
        <v>2</v>
      </c>
      <c r="H51" s="9" t="s">
        <v>17</v>
      </c>
      <c r="I51" s="9" t="s">
        <v>12</v>
      </c>
      <c r="J51" s="9">
        <v>2</v>
      </c>
      <c r="K51" s="9">
        <v>2</v>
      </c>
    </row>
    <row r="52" spans="1:11" x14ac:dyDescent="0.2">
      <c r="A52" s="6"/>
      <c r="B52" s="6"/>
      <c r="C52" s="6" t="s">
        <v>47</v>
      </c>
      <c r="D52" s="6"/>
      <c r="E52" s="6"/>
      <c r="F52" s="9">
        <v>2</v>
      </c>
      <c r="G52" s="9">
        <v>2</v>
      </c>
      <c r="H52" s="9" t="s">
        <v>18</v>
      </c>
      <c r="I52" s="9" t="s">
        <v>12</v>
      </c>
      <c r="J52" s="9">
        <v>2</v>
      </c>
      <c r="K52" s="9">
        <v>2</v>
      </c>
    </row>
    <row r="53" spans="1:11" x14ac:dyDescent="0.2">
      <c r="A53" s="6"/>
      <c r="B53" s="6"/>
      <c r="C53" s="6"/>
      <c r="D53" s="6"/>
      <c r="E53" s="6"/>
      <c r="F53" s="9">
        <v>2</v>
      </c>
      <c r="G53" s="9">
        <v>2</v>
      </c>
      <c r="H53" s="9" t="s">
        <v>19</v>
      </c>
      <c r="I53" s="9" t="s">
        <v>12</v>
      </c>
      <c r="J53" s="9">
        <v>2</v>
      </c>
      <c r="K53" s="9">
        <v>2</v>
      </c>
    </row>
    <row r="54" spans="1:11" x14ac:dyDescent="0.2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</row>
    <row r="55" spans="1:11" x14ac:dyDescent="0.2">
      <c r="A55" s="6"/>
      <c r="B55" s="6"/>
      <c r="C55" s="6"/>
      <c r="D55" s="9">
        <v>1131203</v>
      </c>
      <c r="E55" s="6" t="s">
        <v>48</v>
      </c>
      <c r="F55" s="9">
        <v>2</v>
      </c>
      <c r="G55" s="9">
        <v>4</v>
      </c>
      <c r="H55" s="9" t="s">
        <v>11</v>
      </c>
      <c r="I55" s="9" t="s">
        <v>12</v>
      </c>
      <c r="J55" s="9">
        <v>2</v>
      </c>
      <c r="K55" s="9">
        <v>4</v>
      </c>
    </row>
    <row r="56" spans="1:11" x14ac:dyDescent="0.2">
      <c r="A56" s="6"/>
      <c r="B56" s="6"/>
      <c r="C56" s="6"/>
      <c r="D56" s="6"/>
      <c r="E56" s="6"/>
      <c r="F56" s="9">
        <v>2</v>
      </c>
      <c r="G56" s="9">
        <v>4</v>
      </c>
      <c r="H56" s="9" t="s">
        <v>13</v>
      </c>
      <c r="I56" s="9" t="s">
        <v>12</v>
      </c>
      <c r="J56" s="9">
        <v>2</v>
      </c>
      <c r="K56" s="9">
        <v>4</v>
      </c>
    </row>
    <row r="57" spans="1:11" x14ac:dyDescent="0.2">
      <c r="A57" s="6"/>
      <c r="B57" s="6"/>
      <c r="C57" s="6"/>
      <c r="D57" s="6"/>
      <c r="E57" s="6"/>
      <c r="F57" s="9">
        <v>2</v>
      </c>
      <c r="G57" s="9">
        <v>4</v>
      </c>
      <c r="H57" s="9" t="s">
        <v>14</v>
      </c>
      <c r="I57" s="9" t="s">
        <v>12</v>
      </c>
      <c r="J57" s="9">
        <v>2</v>
      </c>
      <c r="K57" s="9">
        <v>4</v>
      </c>
    </row>
    <row r="58" spans="1:11" x14ac:dyDescent="0.2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</row>
    <row r="59" spans="1:11" ht="15.75" x14ac:dyDescent="0.25">
      <c r="A59" s="1">
        <v>7</v>
      </c>
      <c r="B59" s="1" t="s">
        <v>90</v>
      </c>
      <c r="C59" s="12" t="s">
        <v>91</v>
      </c>
      <c r="D59" s="12"/>
      <c r="E59" s="12"/>
      <c r="F59" s="12"/>
      <c r="G59" s="12"/>
      <c r="H59" s="12"/>
      <c r="I59" s="12"/>
      <c r="J59" s="4">
        <f>SUM(J60:J69)</f>
        <v>16</v>
      </c>
      <c r="K59" s="4">
        <f>SUM(K60:K69)</f>
        <v>26</v>
      </c>
    </row>
    <row r="60" spans="1:11" x14ac:dyDescent="0.2">
      <c r="A60" s="6"/>
      <c r="B60" s="6"/>
      <c r="C60" s="6" t="s">
        <v>21</v>
      </c>
      <c r="D60" s="7">
        <v>1111082</v>
      </c>
      <c r="E60" s="8" t="s">
        <v>78</v>
      </c>
      <c r="F60" s="7">
        <v>2</v>
      </c>
      <c r="G60" s="9">
        <v>4</v>
      </c>
      <c r="H60" s="9" t="s">
        <v>17</v>
      </c>
      <c r="I60" s="9" t="s">
        <v>12</v>
      </c>
      <c r="J60" s="9">
        <v>2</v>
      </c>
      <c r="K60" s="9">
        <v>4</v>
      </c>
    </row>
    <row r="61" spans="1:11" x14ac:dyDescent="0.2">
      <c r="A61" s="6"/>
      <c r="B61" s="6"/>
      <c r="C61" s="6" t="s">
        <v>50</v>
      </c>
      <c r="D61" s="6"/>
      <c r="E61" s="6"/>
      <c r="F61" s="7">
        <v>2</v>
      </c>
      <c r="G61" s="9">
        <v>4</v>
      </c>
      <c r="H61" s="9" t="s">
        <v>18</v>
      </c>
      <c r="I61" s="9" t="s">
        <v>12</v>
      </c>
      <c r="J61" s="9">
        <v>2</v>
      </c>
      <c r="K61" s="9">
        <v>4</v>
      </c>
    </row>
    <row r="62" spans="1:11" x14ac:dyDescent="0.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</row>
    <row r="63" spans="1:11" x14ac:dyDescent="0.2">
      <c r="A63" s="6"/>
      <c r="B63" s="6"/>
      <c r="C63" s="6"/>
      <c r="D63" s="9">
        <v>1150412</v>
      </c>
      <c r="E63" s="6" t="s">
        <v>92</v>
      </c>
      <c r="F63" s="9">
        <v>2</v>
      </c>
      <c r="G63" s="9">
        <v>2</v>
      </c>
      <c r="H63" s="9" t="s">
        <v>16</v>
      </c>
      <c r="I63" s="9" t="s">
        <v>12</v>
      </c>
      <c r="J63" s="9">
        <v>2</v>
      </c>
      <c r="K63" s="9">
        <v>2</v>
      </c>
    </row>
    <row r="64" spans="1:11" x14ac:dyDescent="0.2">
      <c r="A64" s="6"/>
      <c r="B64" s="6"/>
      <c r="C64" s="6"/>
      <c r="D64" s="6"/>
      <c r="E64" s="13"/>
      <c r="F64" s="9">
        <v>2</v>
      </c>
      <c r="G64" s="9">
        <v>2</v>
      </c>
      <c r="H64" s="9" t="s">
        <v>27</v>
      </c>
      <c r="I64" s="9" t="s">
        <v>12</v>
      </c>
      <c r="J64" s="9">
        <v>2</v>
      </c>
      <c r="K64" s="9">
        <v>2</v>
      </c>
    </row>
    <row r="65" spans="1:11" x14ac:dyDescent="0.2">
      <c r="A65" s="6"/>
      <c r="B65" s="6"/>
      <c r="C65" s="6"/>
      <c r="D65" s="8"/>
      <c r="E65" s="13"/>
      <c r="F65" s="9">
        <v>2</v>
      </c>
      <c r="G65" s="9">
        <v>2</v>
      </c>
      <c r="H65" s="9" t="s">
        <v>77</v>
      </c>
      <c r="I65" s="9" t="s">
        <v>12</v>
      </c>
      <c r="J65" s="9">
        <v>2</v>
      </c>
      <c r="K65" s="9">
        <v>2</v>
      </c>
    </row>
    <row r="66" spans="1:1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</row>
    <row r="67" spans="1:11" x14ac:dyDescent="0.2">
      <c r="A67" s="6"/>
      <c r="B67" s="6"/>
      <c r="C67" s="6"/>
      <c r="D67" s="9">
        <v>1151432</v>
      </c>
      <c r="E67" s="6" t="s">
        <v>93</v>
      </c>
      <c r="F67" s="9">
        <v>2</v>
      </c>
      <c r="G67" s="9">
        <v>4</v>
      </c>
      <c r="H67" s="9" t="s">
        <v>16</v>
      </c>
      <c r="I67" s="9" t="s">
        <v>12</v>
      </c>
      <c r="J67" s="9">
        <v>2</v>
      </c>
      <c r="K67" s="9">
        <v>4</v>
      </c>
    </row>
    <row r="68" spans="1:11" x14ac:dyDescent="0.2">
      <c r="A68" s="6"/>
      <c r="B68" s="6"/>
      <c r="C68" s="6"/>
      <c r="D68" s="6"/>
      <c r="E68" s="6"/>
      <c r="F68" s="9">
        <v>2</v>
      </c>
      <c r="G68" s="9">
        <v>4</v>
      </c>
      <c r="H68" s="9" t="s">
        <v>27</v>
      </c>
      <c r="I68" s="9" t="s">
        <v>12</v>
      </c>
      <c r="J68" s="9">
        <v>2</v>
      </c>
      <c r="K68" s="9">
        <v>4</v>
      </c>
    </row>
    <row r="69" spans="1:11" x14ac:dyDescent="0.2">
      <c r="A69" s="6"/>
      <c r="B69" s="6"/>
      <c r="C69" s="6"/>
      <c r="D69" s="6"/>
      <c r="E69" s="6"/>
      <c r="F69" s="9">
        <v>2</v>
      </c>
      <c r="G69" s="9">
        <v>4</v>
      </c>
      <c r="H69" s="9" t="s">
        <v>77</v>
      </c>
      <c r="I69" s="9" t="s">
        <v>12</v>
      </c>
      <c r="J69" s="9">
        <v>2</v>
      </c>
      <c r="K69" s="9">
        <v>4</v>
      </c>
    </row>
    <row r="70" spans="1:11" x14ac:dyDescent="0.2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</row>
    <row r="71" spans="1:11" ht="15.75" x14ac:dyDescent="0.25">
      <c r="A71" s="1">
        <v>8</v>
      </c>
      <c r="B71" s="1" t="s">
        <v>94</v>
      </c>
      <c r="C71" s="2" t="s">
        <v>137</v>
      </c>
      <c r="D71" s="12"/>
      <c r="E71" s="12"/>
      <c r="F71" s="12"/>
      <c r="G71" s="12"/>
      <c r="H71" s="12"/>
      <c r="I71" s="12"/>
      <c r="J71" s="4">
        <f>SUM(J72:J74)</f>
        <v>6</v>
      </c>
      <c r="K71" s="4">
        <f>SUM(K72:K74)</f>
        <v>12</v>
      </c>
    </row>
    <row r="72" spans="1:11" x14ac:dyDescent="0.2">
      <c r="A72" s="6"/>
      <c r="B72" s="6"/>
      <c r="C72" s="6" t="s">
        <v>51</v>
      </c>
      <c r="D72" s="9">
        <v>1131223</v>
      </c>
      <c r="E72" s="6" t="s">
        <v>52</v>
      </c>
      <c r="F72" s="9">
        <v>2</v>
      </c>
      <c r="G72" s="9">
        <v>4</v>
      </c>
      <c r="H72" s="9" t="s">
        <v>11</v>
      </c>
      <c r="I72" s="9" t="s">
        <v>12</v>
      </c>
      <c r="J72" s="9">
        <v>2</v>
      </c>
      <c r="K72" s="9">
        <v>4</v>
      </c>
    </row>
    <row r="73" spans="1:11" x14ac:dyDescent="0.2">
      <c r="A73" s="6"/>
      <c r="B73" s="6"/>
      <c r="C73" s="6" t="s">
        <v>95</v>
      </c>
      <c r="D73" s="6"/>
      <c r="E73" s="6"/>
      <c r="F73" s="9">
        <v>2</v>
      </c>
      <c r="G73" s="9">
        <v>4</v>
      </c>
      <c r="H73" s="9" t="s">
        <v>13</v>
      </c>
      <c r="I73" s="9" t="s">
        <v>12</v>
      </c>
      <c r="J73" s="9">
        <v>2</v>
      </c>
      <c r="K73" s="9">
        <v>4</v>
      </c>
    </row>
    <row r="74" spans="1:11" x14ac:dyDescent="0.2">
      <c r="A74" s="6"/>
      <c r="B74" s="6"/>
      <c r="C74" s="6"/>
      <c r="D74" s="6"/>
      <c r="E74" s="6"/>
      <c r="F74" s="9">
        <v>2</v>
      </c>
      <c r="G74" s="9">
        <v>4</v>
      </c>
      <c r="H74" s="9" t="s">
        <v>14</v>
      </c>
      <c r="I74" s="9" t="s">
        <v>12</v>
      </c>
      <c r="J74" s="9">
        <v>2</v>
      </c>
      <c r="K74" s="9">
        <v>4</v>
      </c>
    </row>
    <row r="75" spans="1:11" x14ac:dyDescent="0.2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</row>
    <row r="76" spans="1:11" ht="15.75" x14ac:dyDescent="0.25">
      <c r="A76" s="1">
        <v>9</v>
      </c>
      <c r="B76" s="1" t="s">
        <v>96</v>
      </c>
      <c r="C76" s="2" t="s">
        <v>136</v>
      </c>
      <c r="D76" s="12"/>
      <c r="E76" s="12"/>
      <c r="F76" s="12"/>
      <c r="G76" s="12"/>
      <c r="H76" s="12"/>
      <c r="I76" s="12"/>
      <c r="J76" s="4">
        <f>SUM(J77:J79)</f>
        <v>6</v>
      </c>
      <c r="K76" s="4">
        <f>SUM(K77:K79)</f>
        <v>12</v>
      </c>
    </row>
    <row r="77" spans="1:11" x14ac:dyDescent="0.2">
      <c r="A77" s="6"/>
      <c r="B77" s="6"/>
      <c r="C77" s="6" t="s">
        <v>97</v>
      </c>
      <c r="D77" s="9">
        <v>1151382</v>
      </c>
      <c r="E77" s="6" t="s">
        <v>98</v>
      </c>
      <c r="F77" s="9">
        <v>2</v>
      </c>
      <c r="G77" s="9">
        <v>4</v>
      </c>
      <c r="H77" s="9" t="s">
        <v>16</v>
      </c>
      <c r="I77" s="9" t="s">
        <v>12</v>
      </c>
      <c r="J77" s="9">
        <v>2</v>
      </c>
      <c r="K77" s="9">
        <v>4</v>
      </c>
    </row>
    <row r="78" spans="1:11" x14ac:dyDescent="0.2">
      <c r="A78" s="6"/>
      <c r="B78" s="6"/>
      <c r="C78" s="6"/>
      <c r="D78" s="6"/>
      <c r="E78" s="6"/>
      <c r="F78" s="9">
        <v>2</v>
      </c>
      <c r="G78" s="9">
        <v>4</v>
      </c>
      <c r="H78" s="9" t="s">
        <v>27</v>
      </c>
      <c r="I78" s="9" t="s">
        <v>12</v>
      </c>
      <c r="J78" s="9">
        <v>2</v>
      </c>
      <c r="K78" s="9">
        <v>4</v>
      </c>
    </row>
    <row r="79" spans="1:11" x14ac:dyDescent="0.2">
      <c r="A79" s="6"/>
      <c r="B79" s="6"/>
      <c r="C79" s="6"/>
      <c r="D79" s="6"/>
      <c r="E79" s="6"/>
      <c r="F79" s="9">
        <v>2</v>
      </c>
      <c r="G79" s="9">
        <v>4</v>
      </c>
      <c r="H79" s="9" t="s">
        <v>77</v>
      </c>
      <c r="I79" s="9" t="s">
        <v>12</v>
      </c>
      <c r="J79" s="9">
        <v>2</v>
      </c>
      <c r="K79" s="9">
        <v>4</v>
      </c>
    </row>
    <row r="80" spans="1:11" x14ac:dyDescent="0.2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</row>
    <row r="81" spans="1:11" ht="15.75" x14ac:dyDescent="0.25">
      <c r="A81" s="1">
        <v>10</v>
      </c>
      <c r="B81" s="1" t="s">
        <v>99</v>
      </c>
      <c r="C81" s="2" t="s">
        <v>135</v>
      </c>
      <c r="D81" s="12"/>
      <c r="E81" s="12"/>
      <c r="F81" s="12"/>
      <c r="G81" s="12"/>
      <c r="H81" s="12"/>
      <c r="I81" s="12"/>
      <c r="J81" s="4">
        <f>SUM(J82:J88)</f>
        <v>12</v>
      </c>
      <c r="K81" s="4">
        <f>SUM(K82:K88)</f>
        <v>18</v>
      </c>
    </row>
    <row r="82" spans="1:11" x14ac:dyDescent="0.2">
      <c r="A82" s="6"/>
      <c r="B82" s="6"/>
      <c r="C82" s="6" t="s">
        <v>100</v>
      </c>
      <c r="D82" s="9">
        <v>1150372</v>
      </c>
      <c r="E82" s="6" t="s">
        <v>101</v>
      </c>
      <c r="F82" s="9">
        <v>2</v>
      </c>
      <c r="G82" s="9">
        <v>2</v>
      </c>
      <c r="H82" s="9" t="s">
        <v>16</v>
      </c>
      <c r="I82" s="9" t="s">
        <v>12</v>
      </c>
      <c r="J82" s="9">
        <v>2</v>
      </c>
      <c r="K82" s="9">
        <v>2</v>
      </c>
    </row>
    <row r="83" spans="1:11" x14ac:dyDescent="0.2">
      <c r="A83" s="6"/>
      <c r="B83" s="6"/>
      <c r="C83" s="6"/>
      <c r="D83" s="6"/>
      <c r="E83" s="6"/>
      <c r="F83" s="9">
        <v>2</v>
      </c>
      <c r="G83" s="9">
        <v>2</v>
      </c>
      <c r="H83" s="9" t="s">
        <v>27</v>
      </c>
      <c r="I83" s="9" t="s">
        <v>12</v>
      </c>
      <c r="J83" s="9">
        <v>2</v>
      </c>
      <c r="K83" s="9">
        <v>2</v>
      </c>
    </row>
    <row r="84" spans="1:11" x14ac:dyDescent="0.2">
      <c r="A84" s="6"/>
      <c r="B84" s="6"/>
      <c r="C84" s="6"/>
      <c r="D84" s="6"/>
      <c r="E84" s="6"/>
      <c r="F84" s="9">
        <v>2</v>
      </c>
      <c r="G84" s="9">
        <v>2</v>
      </c>
      <c r="H84" s="9" t="s">
        <v>77</v>
      </c>
      <c r="I84" s="9" t="s">
        <v>12</v>
      </c>
      <c r="J84" s="9">
        <v>2</v>
      </c>
      <c r="K84" s="9">
        <v>2</v>
      </c>
    </row>
    <row r="85" spans="1:11" x14ac:dyDescent="0.2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</row>
    <row r="86" spans="1:11" x14ac:dyDescent="0.2">
      <c r="A86" s="6"/>
      <c r="B86" s="6"/>
      <c r="C86" s="6"/>
      <c r="D86" s="9">
        <v>1151392</v>
      </c>
      <c r="E86" s="6" t="s">
        <v>102</v>
      </c>
      <c r="F86" s="9">
        <v>2</v>
      </c>
      <c r="G86" s="9">
        <v>4</v>
      </c>
      <c r="H86" s="9" t="s">
        <v>16</v>
      </c>
      <c r="I86" s="9" t="s">
        <v>12</v>
      </c>
      <c r="J86" s="9">
        <v>2</v>
      </c>
      <c r="K86" s="9">
        <v>4</v>
      </c>
    </row>
    <row r="87" spans="1:11" x14ac:dyDescent="0.2">
      <c r="A87" s="8"/>
      <c r="B87" s="8"/>
      <c r="C87" s="8"/>
      <c r="D87" s="6"/>
      <c r="E87" s="8"/>
      <c r="F87" s="9">
        <v>2</v>
      </c>
      <c r="G87" s="9">
        <v>4</v>
      </c>
      <c r="H87" s="9" t="s">
        <v>27</v>
      </c>
      <c r="I87" s="9" t="s">
        <v>12</v>
      </c>
      <c r="J87" s="9">
        <v>2</v>
      </c>
      <c r="K87" s="9">
        <v>4</v>
      </c>
    </row>
    <row r="88" spans="1:11" x14ac:dyDescent="0.2">
      <c r="A88" s="8"/>
      <c r="B88" s="8"/>
      <c r="C88" s="8"/>
      <c r="D88" s="6"/>
      <c r="E88" s="8"/>
      <c r="F88" s="9">
        <v>2</v>
      </c>
      <c r="G88" s="9">
        <v>4</v>
      </c>
      <c r="H88" s="9" t="s">
        <v>77</v>
      </c>
      <c r="I88" s="9" t="s">
        <v>12</v>
      </c>
      <c r="J88" s="9">
        <v>2</v>
      </c>
      <c r="K88" s="9">
        <v>4</v>
      </c>
    </row>
    <row r="89" spans="1:11" x14ac:dyDescent="0.2">
      <c r="A89" s="8"/>
      <c r="B89" s="8"/>
      <c r="C89" s="8"/>
      <c r="D89" s="6"/>
      <c r="E89" s="8"/>
      <c r="F89" s="9"/>
      <c r="G89" s="9"/>
      <c r="H89" s="9"/>
      <c r="I89" s="9"/>
      <c r="J89" s="9"/>
      <c r="K89" s="9"/>
    </row>
    <row r="90" spans="1:11" ht="15.75" x14ac:dyDescent="0.25">
      <c r="A90" s="1">
        <v>11</v>
      </c>
      <c r="B90" s="1" t="s">
        <v>143</v>
      </c>
      <c r="C90" s="2" t="s">
        <v>142</v>
      </c>
      <c r="D90" s="12"/>
      <c r="E90" s="12"/>
      <c r="F90" s="12"/>
      <c r="G90" s="12"/>
      <c r="H90" s="12"/>
      <c r="I90" s="12"/>
      <c r="J90" s="4">
        <f>SUM(J91:J93)</f>
        <v>6</v>
      </c>
      <c r="K90" s="4">
        <f>SUM(K91:K93)</f>
        <v>6</v>
      </c>
    </row>
    <row r="91" spans="1:11" x14ac:dyDescent="0.2">
      <c r="A91" s="6"/>
      <c r="B91" s="6"/>
      <c r="C91" s="6"/>
      <c r="D91" s="37" t="s">
        <v>138</v>
      </c>
      <c r="E91" s="6" t="s">
        <v>103</v>
      </c>
      <c r="F91" s="9">
        <v>2</v>
      </c>
      <c r="G91" s="9">
        <v>2</v>
      </c>
      <c r="H91" s="9" t="s">
        <v>17</v>
      </c>
      <c r="I91" s="9" t="s">
        <v>12</v>
      </c>
      <c r="J91" s="9">
        <v>2</v>
      </c>
      <c r="K91" s="9">
        <v>2</v>
      </c>
    </row>
    <row r="92" spans="1:11" x14ac:dyDescent="0.2">
      <c r="A92" s="6"/>
      <c r="B92" s="6"/>
      <c r="C92" s="6"/>
      <c r="D92" s="6"/>
      <c r="E92" s="6"/>
      <c r="F92" s="9">
        <v>2</v>
      </c>
      <c r="G92" s="9">
        <v>2</v>
      </c>
      <c r="H92" s="9" t="s">
        <v>18</v>
      </c>
      <c r="I92" s="9" t="s">
        <v>12</v>
      </c>
      <c r="J92" s="9">
        <v>2</v>
      </c>
      <c r="K92" s="9">
        <v>2</v>
      </c>
    </row>
    <row r="93" spans="1:11" x14ac:dyDescent="0.2">
      <c r="A93" s="6"/>
      <c r="B93" s="6"/>
      <c r="C93" s="6"/>
      <c r="D93" s="6"/>
      <c r="E93" s="6"/>
      <c r="F93" s="9">
        <v>2</v>
      </c>
      <c r="G93" s="9">
        <v>2</v>
      </c>
      <c r="H93" s="9" t="s">
        <v>19</v>
      </c>
      <c r="I93" s="9" t="s">
        <v>12</v>
      </c>
      <c r="J93" s="9">
        <v>2</v>
      </c>
      <c r="K93" s="9">
        <v>2</v>
      </c>
    </row>
    <row r="94" spans="1:11" x14ac:dyDescent="0.2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</row>
    <row r="95" spans="1:11" ht="15.75" x14ac:dyDescent="0.25">
      <c r="A95" s="1">
        <v>11</v>
      </c>
      <c r="B95" s="1" t="s">
        <v>56</v>
      </c>
      <c r="C95" s="24" t="s">
        <v>57</v>
      </c>
      <c r="D95" s="12"/>
      <c r="E95" s="12"/>
      <c r="F95" s="12"/>
      <c r="G95" s="12"/>
      <c r="H95" s="12"/>
      <c r="I95" s="12"/>
      <c r="J95" s="4">
        <f>SUM(J96:J96)</f>
        <v>2</v>
      </c>
      <c r="K95" s="4">
        <f>SUM(K96:K96)</f>
        <v>2</v>
      </c>
    </row>
    <row r="96" spans="1:11" x14ac:dyDescent="0.2">
      <c r="A96" s="35"/>
      <c r="B96" s="35"/>
      <c r="C96" s="6"/>
      <c r="D96" s="7">
        <v>1110012</v>
      </c>
      <c r="E96" s="8" t="s">
        <v>76</v>
      </c>
      <c r="F96" s="9">
        <v>2</v>
      </c>
      <c r="G96" s="9">
        <v>2</v>
      </c>
      <c r="H96" s="9" t="s">
        <v>17</v>
      </c>
      <c r="I96" s="9" t="s">
        <v>12</v>
      </c>
      <c r="J96" s="9">
        <v>2</v>
      </c>
      <c r="K96" s="9">
        <v>2</v>
      </c>
    </row>
    <row r="97" spans="1:11" ht="15.75" x14ac:dyDescent="0.25">
      <c r="A97" s="1">
        <v>12</v>
      </c>
      <c r="B97" s="1" t="s">
        <v>9</v>
      </c>
      <c r="C97" s="24" t="s">
        <v>117</v>
      </c>
      <c r="D97" s="12"/>
      <c r="E97" s="12"/>
      <c r="F97" s="12"/>
      <c r="G97" s="12"/>
      <c r="H97" s="12"/>
      <c r="I97" s="12"/>
      <c r="J97" s="4">
        <f>SUM(J98:J98)</f>
        <v>2</v>
      </c>
      <c r="K97" s="4">
        <f>SUM(K98:K98)</f>
        <v>2</v>
      </c>
    </row>
    <row r="98" spans="1:11" x14ac:dyDescent="0.2">
      <c r="A98" s="35"/>
      <c r="B98" s="35"/>
      <c r="C98" s="6"/>
      <c r="D98" s="7">
        <v>1110012</v>
      </c>
      <c r="E98" s="8" t="s">
        <v>76</v>
      </c>
      <c r="F98" s="9">
        <v>2</v>
      </c>
      <c r="G98" s="9">
        <v>2</v>
      </c>
      <c r="H98" s="9" t="s">
        <v>18</v>
      </c>
      <c r="I98" s="9" t="s">
        <v>12</v>
      </c>
      <c r="J98" s="9">
        <v>2</v>
      </c>
      <c r="K98" s="9">
        <v>2</v>
      </c>
    </row>
    <row r="99" spans="1:11" ht="15.75" x14ac:dyDescent="0.25">
      <c r="A99" s="1">
        <v>13</v>
      </c>
      <c r="B99" s="1" t="s">
        <v>111</v>
      </c>
      <c r="C99" s="24" t="s">
        <v>69</v>
      </c>
      <c r="D99" s="12"/>
      <c r="E99" s="12"/>
      <c r="F99" s="12"/>
      <c r="G99" s="12"/>
      <c r="H99" s="12"/>
      <c r="I99" s="12"/>
      <c r="J99" s="4">
        <f>SUM(J100:J100)</f>
        <v>2</v>
      </c>
      <c r="K99" s="4">
        <f>SUM(K100:K100)</f>
        <v>2</v>
      </c>
    </row>
    <row r="100" spans="1:11" x14ac:dyDescent="0.2">
      <c r="A100" s="35"/>
      <c r="B100" s="35"/>
      <c r="C100" s="6"/>
      <c r="D100" s="7">
        <v>1110012</v>
      </c>
      <c r="E100" s="8" t="s">
        <v>76</v>
      </c>
      <c r="F100" s="9">
        <v>2</v>
      </c>
      <c r="G100" s="9">
        <v>2</v>
      </c>
      <c r="H100" s="9" t="s">
        <v>19</v>
      </c>
      <c r="I100" s="9" t="s">
        <v>12</v>
      </c>
      <c r="J100" s="9">
        <v>2</v>
      </c>
      <c r="K100" s="9">
        <v>2</v>
      </c>
    </row>
    <row r="101" spans="1:11" ht="15.75" x14ac:dyDescent="0.25">
      <c r="A101" s="1">
        <v>14</v>
      </c>
      <c r="B101" s="1" t="s">
        <v>119</v>
      </c>
      <c r="C101" s="2" t="s">
        <v>118</v>
      </c>
      <c r="D101" s="12"/>
      <c r="E101" s="12"/>
      <c r="F101" s="12"/>
      <c r="G101" s="12"/>
      <c r="H101" s="12"/>
      <c r="I101" s="12"/>
      <c r="J101" s="4">
        <f>SUM(J102:J104)</f>
        <v>6</v>
      </c>
      <c r="K101" s="4">
        <f>SUM(K102:K104)</f>
        <v>6</v>
      </c>
    </row>
    <row r="102" spans="1:11" x14ac:dyDescent="0.2">
      <c r="A102" s="6"/>
      <c r="B102" s="6"/>
      <c r="C102" s="6"/>
      <c r="D102" s="9">
        <v>1110032</v>
      </c>
      <c r="E102" s="6" t="s">
        <v>116</v>
      </c>
      <c r="F102" s="9">
        <v>2</v>
      </c>
      <c r="G102" s="9">
        <v>2</v>
      </c>
      <c r="H102" s="9" t="s">
        <v>17</v>
      </c>
      <c r="I102" s="9" t="s">
        <v>12</v>
      </c>
      <c r="J102" s="9">
        <v>2</v>
      </c>
      <c r="K102" s="9">
        <v>2</v>
      </c>
    </row>
    <row r="103" spans="1:11" x14ac:dyDescent="0.2">
      <c r="A103" s="6"/>
      <c r="B103" s="6"/>
      <c r="C103" s="6"/>
      <c r="D103" s="6"/>
      <c r="E103" s="6"/>
      <c r="F103" s="9">
        <v>2</v>
      </c>
      <c r="G103" s="9">
        <v>2</v>
      </c>
      <c r="H103" s="9" t="s">
        <v>18</v>
      </c>
      <c r="I103" s="9" t="s">
        <v>12</v>
      </c>
      <c r="J103" s="9">
        <v>2</v>
      </c>
      <c r="K103" s="9">
        <v>2</v>
      </c>
    </row>
    <row r="104" spans="1:11" x14ac:dyDescent="0.2">
      <c r="A104" s="6"/>
      <c r="B104" s="6"/>
      <c r="C104" s="6"/>
      <c r="D104" s="6"/>
      <c r="E104" s="6"/>
      <c r="F104" s="9">
        <v>2</v>
      </c>
      <c r="G104" s="9">
        <v>2</v>
      </c>
      <c r="H104" s="9" t="s">
        <v>19</v>
      </c>
      <c r="I104" s="9" t="s">
        <v>12</v>
      </c>
      <c r="J104" s="9">
        <v>2</v>
      </c>
      <c r="K104" s="9">
        <v>2</v>
      </c>
    </row>
    <row r="105" spans="1:11" ht="15.75" x14ac:dyDescent="0.25">
      <c r="A105" s="1">
        <v>15</v>
      </c>
      <c r="B105" s="1" t="s">
        <v>121</v>
      </c>
      <c r="C105" s="2" t="s">
        <v>120</v>
      </c>
      <c r="D105" s="12"/>
      <c r="E105" s="12"/>
      <c r="F105" s="12"/>
      <c r="G105" s="12"/>
      <c r="H105" s="12"/>
      <c r="I105" s="12"/>
      <c r="J105" s="4">
        <f>SUM(J106:J111)</f>
        <v>12</v>
      </c>
      <c r="K105" s="4">
        <f>SUM(K106:K111)</f>
        <v>12</v>
      </c>
    </row>
    <row r="106" spans="1:11" x14ac:dyDescent="0.2">
      <c r="A106" s="6"/>
      <c r="B106" s="6"/>
      <c r="C106" s="6"/>
      <c r="D106" s="36">
        <v>1130162</v>
      </c>
      <c r="E106" s="36" t="s">
        <v>122</v>
      </c>
      <c r="F106" s="9">
        <v>2</v>
      </c>
      <c r="G106" s="9">
        <v>2</v>
      </c>
      <c r="H106" s="9" t="s">
        <v>11</v>
      </c>
      <c r="I106" s="9" t="s">
        <v>12</v>
      </c>
      <c r="J106" s="9">
        <v>2</v>
      </c>
      <c r="K106" s="9">
        <v>2</v>
      </c>
    </row>
    <row r="107" spans="1:11" x14ac:dyDescent="0.2">
      <c r="A107" s="6"/>
      <c r="B107" s="6"/>
      <c r="C107" s="6"/>
      <c r="D107" s="6"/>
      <c r="E107" s="6"/>
      <c r="F107" s="9">
        <v>2</v>
      </c>
      <c r="G107" s="9">
        <v>2</v>
      </c>
      <c r="H107" s="9" t="s">
        <v>13</v>
      </c>
      <c r="I107" s="9" t="s">
        <v>12</v>
      </c>
      <c r="J107" s="9">
        <v>2</v>
      </c>
      <c r="K107" s="9">
        <v>2</v>
      </c>
    </row>
    <row r="108" spans="1:11" x14ac:dyDescent="0.2">
      <c r="A108" s="6"/>
      <c r="B108" s="6"/>
      <c r="C108" s="6"/>
      <c r="D108" s="44"/>
      <c r="E108" s="44"/>
      <c r="F108" s="45">
        <v>2</v>
      </c>
      <c r="G108" s="45">
        <v>2</v>
      </c>
      <c r="H108" s="45" t="s">
        <v>14</v>
      </c>
      <c r="I108" s="45" t="s">
        <v>12</v>
      </c>
      <c r="J108" s="45">
        <v>2</v>
      </c>
      <c r="K108" s="45">
        <v>2</v>
      </c>
    </row>
    <row r="109" spans="1:11" ht="15" x14ac:dyDescent="0.25">
      <c r="A109" s="6"/>
      <c r="B109" s="6"/>
      <c r="C109" s="50"/>
      <c r="D109" s="10">
        <v>1110032</v>
      </c>
      <c r="E109" s="5" t="s">
        <v>116</v>
      </c>
      <c r="F109" s="9">
        <v>2</v>
      </c>
      <c r="G109" s="9">
        <v>2</v>
      </c>
      <c r="H109" s="9" t="s">
        <v>17</v>
      </c>
      <c r="I109" s="9" t="s">
        <v>12</v>
      </c>
      <c r="J109" s="9">
        <v>2</v>
      </c>
      <c r="K109" s="9">
        <v>2</v>
      </c>
    </row>
    <row r="110" spans="1:11" ht="15" x14ac:dyDescent="0.25">
      <c r="A110" s="6"/>
      <c r="B110" s="6"/>
      <c r="C110" s="50"/>
      <c r="D110" s="5"/>
      <c r="E110" s="41"/>
      <c r="F110" s="9">
        <v>2</v>
      </c>
      <c r="G110" s="9">
        <v>2</v>
      </c>
      <c r="H110" s="9" t="s">
        <v>18</v>
      </c>
      <c r="I110" s="9" t="s">
        <v>12</v>
      </c>
      <c r="J110" s="9">
        <v>2</v>
      </c>
      <c r="K110" s="9">
        <v>2</v>
      </c>
    </row>
    <row r="111" spans="1:11" ht="15" x14ac:dyDescent="0.25">
      <c r="A111" s="6"/>
      <c r="B111" s="6"/>
      <c r="C111" s="50"/>
      <c r="D111" s="5"/>
      <c r="E111" s="41"/>
      <c r="F111" s="9">
        <v>2</v>
      </c>
      <c r="G111" s="9">
        <v>2</v>
      </c>
      <c r="H111" s="9" t="s">
        <v>19</v>
      </c>
      <c r="I111" s="9" t="s">
        <v>12</v>
      </c>
      <c r="J111" s="9">
        <v>2</v>
      </c>
      <c r="K111" s="9">
        <v>2</v>
      </c>
    </row>
    <row r="112" spans="1:11" x14ac:dyDescent="0.2">
      <c r="A112" s="6"/>
      <c r="B112" s="6"/>
      <c r="C112" s="6"/>
      <c r="D112" s="51"/>
      <c r="E112" s="51"/>
      <c r="F112" s="52"/>
      <c r="G112" s="52"/>
      <c r="H112" s="52"/>
      <c r="I112" s="52"/>
      <c r="J112" s="52"/>
      <c r="K112" s="52"/>
    </row>
    <row r="113" spans="1:11" ht="15.75" x14ac:dyDescent="0.25">
      <c r="A113" s="1">
        <v>16</v>
      </c>
      <c r="B113" s="1" t="s">
        <v>124</v>
      </c>
      <c r="C113" s="2" t="s">
        <v>123</v>
      </c>
      <c r="D113" s="12"/>
      <c r="E113" s="12"/>
      <c r="F113" s="12"/>
      <c r="G113" s="12"/>
      <c r="H113" s="12"/>
      <c r="I113" s="12"/>
      <c r="J113" s="4">
        <f>SUM(J114:J115)</f>
        <v>4</v>
      </c>
      <c r="K113" s="4">
        <f>SUM(K114:K115)</f>
        <v>8</v>
      </c>
    </row>
    <row r="114" spans="1:11" x14ac:dyDescent="0.2">
      <c r="A114" s="6"/>
      <c r="B114" s="6"/>
      <c r="C114" s="6"/>
      <c r="D114" s="7">
        <v>1131212</v>
      </c>
      <c r="E114" s="8" t="s">
        <v>15</v>
      </c>
      <c r="F114" s="9">
        <v>2</v>
      </c>
      <c r="G114" s="9">
        <v>4</v>
      </c>
      <c r="H114" s="9" t="s">
        <v>11</v>
      </c>
      <c r="I114" s="9" t="s">
        <v>12</v>
      </c>
      <c r="J114" s="9">
        <v>2</v>
      </c>
      <c r="K114" s="9">
        <v>4</v>
      </c>
    </row>
    <row r="115" spans="1:11" x14ac:dyDescent="0.2">
      <c r="A115" s="6"/>
      <c r="B115" s="6"/>
      <c r="C115" s="6"/>
      <c r="D115" s="6"/>
      <c r="E115" s="6"/>
      <c r="F115" s="9">
        <v>2</v>
      </c>
      <c r="G115" s="9">
        <v>4</v>
      </c>
      <c r="H115" s="9" t="s">
        <v>13</v>
      </c>
      <c r="I115" s="9" t="s">
        <v>12</v>
      </c>
      <c r="J115" s="9">
        <v>2</v>
      </c>
      <c r="K115" s="9">
        <v>4</v>
      </c>
    </row>
    <row r="116" spans="1:11" ht="15.75" x14ac:dyDescent="0.25">
      <c r="A116" s="1">
        <v>17</v>
      </c>
      <c r="B116" s="1" t="s">
        <v>125</v>
      </c>
      <c r="C116" s="2" t="s">
        <v>126</v>
      </c>
      <c r="D116" s="12"/>
      <c r="E116" s="12"/>
      <c r="F116" s="12"/>
      <c r="G116" s="12"/>
      <c r="H116" s="12"/>
      <c r="I116" s="12"/>
      <c r="J116" s="4">
        <f>SUM(J117:J117)</f>
        <v>2</v>
      </c>
      <c r="K116" s="4">
        <f>SUM(K117:K117)</f>
        <v>4</v>
      </c>
    </row>
    <row r="117" spans="1:11" x14ac:dyDescent="0.2">
      <c r="A117" s="6"/>
      <c r="B117" s="6"/>
      <c r="C117" s="6"/>
      <c r="D117" s="7">
        <v>1131212</v>
      </c>
      <c r="E117" s="8" t="s">
        <v>15</v>
      </c>
      <c r="F117" s="9">
        <v>2</v>
      </c>
      <c r="G117" s="9">
        <v>4</v>
      </c>
      <c r="H117" s="9" t="s">
        <v>14</v>
      </c>
      <c r="I117" s="9" t="s">
        <v>12</v>
      </c>
      <c r="J117" s="9">
        <v>2</v>
      </c>
      <c r="K117" s="9">
        <v>4</v>
      </c>
    </row>
    <row r="118" spans="1:11" ht="15.75" x14ac:dyDescent="0.25">
      <c r="A118" s="1">
        <v>18</v>
      </c>
      <c r="B118" s="1" t="s">
        <v>127</v>
      </c>
      <c r="C118" s="2" t="s">
        <v>128</v>
      </c>
      <c r="D118" s="12"/>
      <c r="E118" s="12"/>
      <c r="F118" s="12"/>
      <c r="G118" s="12"/>
      <c r="H118" s="12"/>
      <c r="I118" s="12"/>
      <c r="J118" s="4">
        <f>SUM(J119:J121)</f>
        <v>6</v>
      </c>
      <c r="K118" s="4">
        <f>SUM(K119:K121)</f>
        <v>12</v>
      </c>
    </row>
    <row r="119" spans="1:11" ht="28.5" x14ac:dyDescent="0.2">
      <c r="A119" s="6"/>
      <c r="B119" s="6"/>
      <c r="C119" s="6"/>
      <c r="D119" s="9">
        <v>1151442</v>
      </c>
      <c r="E119" s="6" t="s">
        <v>129</v>
      </c>
      <c r="F119" s="9">
        <v>2</v>
      </c>
      <c r="G119" s="9">
        <v>4</v>
      </c>
      <c r="H119" s="9" t="s">
        <v>16</v>
      </c>
      <c r="I119" s="9" t="s">
        <v>12</v>
      </c>
      <c r="J119" s="9">
        <v>2</v>
      </c>
      <c r="K119" s="9">
        <v>4</v>
      </c>
    </row>
    <row r="120" spans="1:11" x14ac:dyDescent="0.2">
      <c r="A120" s="6"/>
      <c r="B120" s="6"/>
      <c r="C120" s="6"/>
      <c r="D120" s="6"/>
      <c r="E120" s="6"/>
      <c r="F120" s="9">
        <v>2</v>
      </c>
      <c r="G120" s="9">
        <v>4</v>
      </c>
      <c r="H120" s="9" t="s">
        <v>27</v>
      </c>
      <c r="I120" s="9" t="s">
        <v>12</v>
      </c>
      <c r="J120" s="9">
        <v>2</v>
      </c>
      <c r="K120" s="9">
        <v>4</v>
      </c>
    </row>
    <row r="121" spans="1:11" x14ac:dyDescent="0.2">
      <c r="A121" s="6"/>
      <c r="B121" s="6"/>
      <c r="C121" s="6"/>
      <c r="D121" s="6"/>
      <c r="E121" s="6"/>
      <c r="F121" s="9">
        <v>2</v>
      </c>
      <c r="G121" s="9">
        <v>4</v>
      </c>
      <c r="H121" s="9" t="s">
        <v>77</v>
      </c>
      <c r="I121" s="9" t="s">
        <v>12</v>
      </c>
      <c r="J121" s="9">
        <v>2</v>
      </c>
      <c r="K121" s="9">
        <v>4</v>
      </c>
    </row>
    <row r="122" spans="1:11" ht="15.75" x14ac:dyDescent="0.25">
      <c r="A122" s="1">
        <v>19</v>
      </c>
      <c r="B122" s="1" t="s">
        <v>130</v>
      </c>
      <c r="C122" s="2" t="s">
        <v>131</v>
      </c>
      <c r="D122" s="12"/>
      <c r="E122" s="12"/>
      <c r="F122" s="12"/>
      <c r="G122" s="12"/>
      <c r="H122" s="12"/>
      <c r="I122" s="12"/>
      <c r="J122" s="4">
        <f>SUM(J123:J125)</f>
        <v>6</v>
      </c>
      <c r="K122" s="4">
        <f>SUM(K123:K125)</f>
        <v>6</v>
      </c>
    </row>
    <row r="123" spans="1:11" x14ac:dyDescent="0.2">
      <c r="A123" s="6"/>
      <c r="B123" s="6"/>
      <c r="C123" s="6"/>
      <c r="D123" s="9">
        <v>1150422</v>
      </c>
      <c r="E123" s="6" t="s">
        <v>10</v>
      </c>
      <c r="F123" s="9">
        <v>2</v>
      </c>
      <c r="G123" s="9">
        <v>2</v>
      </c>
      <c r="H123" s="9" t="s">
        <v>16</v>
      </c>
      <c r="I123" s="9" t="s">
        <v>12</v>
      </c>
      <c r="J123" s="9">
        <v>2</v>
      </c>
      <c r="K123" s="9">
        <v>2</v>
      </c>
    </row>
    <row r="124" spans="1:11" x14ac:dyDescent="0.2">
      <c r="A124" s="6"/>
      <c r="B124" s="6"/>
      <c r="C124" s="6"/>
      <c r="D124" s="6"/>
      <c r="E124" s="6"/>
      <c r="F124" s="9">
        <v>2</v>
      </c>
      <c r="G124" s="9">
        <v>2</v>
      </c>
      <c r="H124" s="9" t="s">
        <v>27</v>
      </c>
      <c r="I124" s="9" t="s">
        <v>12</v>
      </c>
      <c r="J124" s="9">
        <v>2</v>
      </c>
      <c r="K124" s="9">
        <v>2</v>
      </c>
    </row>
    <row r="125" spans="1:11" x14ac:dyDescent="0.2">
      <c r="A125" s="6"/>
      <c r="B125" s="6"/>
      <c r="C125" s="6"/>
      <c r="D125" s="6"/>
      <c r="E125" s="6"/>
      <c r="F125" s="9">
        <v>2</v>
      </c>
      <c r="G125" s="9">
        <v>2</v>
      </c>
      <c r="H125" s="9" t="s">
        <v>77</v>
      </c>
      <c r="I125" s="9" t="s">
        <v>12</v>
      </c>
      <c r="J125" s="9">
        <v>2</v>
      </c>
      <c r="K125" s="9">
        <v>2</v>
      </c>
    </row>
    <row r="126" spans="1:11" ht="15.75" x14ac:dyDescent="0.25">
      <c r="A126" s="1">
        <v>20</v>
      </c>
      <c r="B126" s="1" t="s">
        <v>132</v>
      </c>
      <c r="C126" s="2" t="s">
        <v>133</v>
      </c>
      <c r="D126" s="12"/>
      <c r="E126" s="12"/>
      <c r="F126" s="12"/>
      <c r="G126" s="12"/>
      <c r="H126" s="12"/>
      <c r="I126" s="12"/>
      <c r="J126" s="4">
        <f>SUM(J127:J129)</f>
        <v>6</v>
      </c>
      <c r="K126" s="4">
        <f>SUM(K127:K129)</f>
        <v>12</v>
      </c>
    </row>
    <row r="127" spans="1:11" x14ac:dyDescent="0.2">
      <c r="A127" s="6"/>
      <c r="B127" s="6"/>
      <c r="C127" s="6"/>
      <c r="D127" s="9">
        <v>1111052</v>
      </c>
      <c r="E127" s="6" t="s">
        <v>134</v>
      </c>
      <c r="F127" s="9">
        <v>2</v>
      </c>
      <c r="G127" s="9">
        <v>4</v>
      </c>
      <c r="H127" s="9" t="s">
        <v>17</v>
      </c>
      <c r="I127" s="9" t="s">
        <v>12</v>
      </c>
      <c r="J127" s="9">
        <v>2</v>
      </c>
      <c r="K127" s="9">
        <v>4</v>
      </c>
    </row>
    <row r="128" spans="1:11" x14ac:dyDescent="0.2">
      <c r="A128" s="6"/>
      <c r="B128" s="6"/>
      <c r="C128" s="6"/>
      <c r="D128" s="6"/>
      <c r="E128" s="6"/>
      <c r="F128" s="9">
        <v>2</v>
      </c>
      <c r="G128" s="9">
        <v>4</v>
      </c>
      <c r="H128" s="9" t="s">
        <v>18</v>
      </c>
      <c r="I128" s="9" t="s">
        <v>12</v>
      </c>
      <c r="J128" s="9">
        <v>2</v>
      </c>
      <c r="K128" s="9">
        <v>4</v>
      </c>
    </row>
    <row r="129" spans="1:11" x14ac:dyDescent="0.2">
      <c r="A129" s="6"/>
      <c r="B129" s="6"/>
      <c r="C129" s="6"/>
      <c r="D129" s="6"/>
      <c r="E129" s="6"/>
      <c r="F129" s="9">
        <v>2</v>
      </c>
      <c r="G129" s="9">
        <v>4</v>
      </c>
      <c r="H129" s="9" t="s">
        <v>19</v>
      </c>
      <c r="I129" s="9" t="s">
        <v>12</v>
      </c>
      <c r="J129" s="9">
        <v>2</v>
      </c>
      <c r="K129" s="9">
        <v>4</v>
      </c>
    </row>
    <row r="130" spans="1:11" ht="15.75" x14ac:dyDescent="0.25">
      <c r="A130" s="46"/>
      <c r="B130" s="46"/>
      <c r="C130" s="47"/>
      <c r="D130" s="48"/>
      <c r="E130" s="48"/>
      <c r="F130" s="48"/>
      <c r="G130" s="48"/>
      <c r="H130" s="48"/>
      <c r="I130" s="48"/>
      <c r="J130" s="49"/>
      <c r="K130" s="49"/>
    </row>
    <row r="131" spans="1:11" x14ac:dyDescent="0.2">
      <c r="A131" s="48"/>
      <c r="B131" s="48"/>
      <c r="C131" s="48"/>
      <c r="D131" s="46"/>
      <c r="E131" s="48"/>
      <c r="F131" s="46"/>
      <c r="G131" s="46"/>
      <c r="H131" s="46"/>
      <c r="I131" s="46"/>
      <c r="J131" s="46"/>
      <c r="K131" s="46"/>
    </row>
    <row r="132" spans="1:11" x14ac:dyDescent="0.2">
      <c r="A132" s="48"/>
      <c r="B132" s="48"/>
      <c r="C132" s="48"/>
      <c r="D132" s="48"/>
      <c r="E132" s="48"/>
      <c r="F132" s="46"/>
      <c r="G132" s="46"/>
      <c r="H132" s="46"/>
      <c r="I132" s="46"/>
      <c r="J132" s="46"/>
      <c r="K132" s="46"/>
    </row>
    <row r="133" spans="1:11" x14ac:dyDescent="0.2">
      <c r="A133" s="48"/>
      <c r="B133" s="48"/>
      <c r="C133" s="48"/>
      <c r="D133" s="48"/>
      <c r="E133" s="48"/>
      <c r="F133" s="46"/>
      <c r="G133" s="46"/>
      <c r="H133" s="46"/>
      <c r="I133" s="46"/>
      <c r="J133" s="46"/>
      <c r="K133" s="4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9C1E9-3C6F-46EA-82CB-876C84A81D2B}">
  <dimension ref="A1:AA994"/>
  <sheetViews>
    <sheetView showGridLines="0" tabSelected="1" zoomScale="85" zoomScaleNormal="85" workbookViewId="0">
      <selection activeCell="P19" sqref="P19"/>
    </sheetView>
  </sheetViews>
  <sheetFormatPr defaultRowHeight="15" x14ac:dyDescent="0.25"/>
  <cols>
    <col min="1" max="1" width="4.85546875" bestFit="1" customWidth="1"/>
    <col min="2" max="2" width="6.5703125" customWidth="1"/>
    <col min="3" max="3" width="41" customWidth="1"/>
    <col min="4" max="4" width="9" bestFit="1" customWidth="1"/>
    <col min="5" max="5" width="39" customWidth="1"/>
    <col min="6" max="6" width="5.7109375" bestFit="1" customWidth="1"/>
    <col min="7" max="7" width="6.140625" bestFit="1" customWidth="1"/>
    <col min="8" max="8" width="8.7109375" bestFit="1" customWidth="1"/>
    <col min="9" max="9" width="7.7109375" bestFit="1" customWidth="1"/>
    <col min="10" max="11" width="7.42578125" bestFit="1" customWidth="1"/>
  </cols>
  <sheetData>
    <row r="1" spans="1:27" ht="42" x14ac:dyDescent="0.35">
      <c r="A1" s="15" t="s">
        <v>22</v>
      </c>
      <c r="B1" s="15" t="s">
        <v>0</v>
      </c>
      <c r="C1" s="15" t="s">
        <v>1</v>
      </c>
      <c r="D1" s="15" t="s">
        <v>1</v>
      </c>
      <c r="E1" s="15" t="s">
        <v>2</v>
      </c>
      <c r="F1" s="15" t="s">
        <v>3</v>
      </c>
      <c r="G1" s="15" t="s">
        <v>4</v>
      </c>
      <c r="H1" s="15" t="s">
        <v>5</v>
      </c>
      <c r="I1" s="15" t="s">
        <v>6</v>
      </c>
      <c r="J1" s="15" t="s">
        <v>7</v>
      </c>
      <c r="K1" s="15" t="s">
        <v>8</v>
      </c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/>
    </row>
    <row r="2" spans="1:27" ht="26.25" x14ac:dyDescent="0.4">
      <c r="A2" s="19">
        <v>1</v>
      </c>
      <c r="B2" s="19" t="s">
        <v>56</v>
      </c>
      <c r="C2" s="20" t="s">
        <v>57</v>
      </c>
      <c r="D2" s="3"/>
      <c r="E2" s="3"/>
      <c r="F2" s="3"/>
      <c r="G2" s="3"/>
      <c r="H2" s="3"/>
      <c r="I2" s="3"/>
      <c r="J2" s="21">
        <f>SUM(J3:J7)</f>
        <v>14</v>
      </c>
      <c r="K2" s="21">
        <f>SUM(K3:K7)</f>
        <v>26</v>
      </c>
      <c r="L2" s="16"/>
      <c r="M2" s="16"/>
      <c r="N2" s="16"/>
      <c r="O2" s="16"/>
      <c r="P2" s="16"/>
      <c r="Q2" s="16"/>
      <c r="R2" s="18"/>
      <c r="S2" s="16"/>
      <c r="T2" s="16"/>
      <c r="U2" s="16"/>
      <c r="V2" s="16"/>
      <c r="W2" s="16"/>
      <c r="X2" s="16"/>
      <c r="Y2" s="16"/>
      <c r="Z2" s="16"/>
      <c r="AA2" s="17"/>
    </row>
    <row r="3" spans="1:27" ht="15.75" x14ac:dyDescent="0.25">
      <c r="A3" s="5"/>
      <c r="B3" s="5"/>
      <c r="C3" s="22" t="s">
        <v>58</v>
      </c>
      <c r="D3" s="14">
        <v>1532073</v>
      </c>
      <c r="E3" s="22" t="s">
        <v>109</v>
      </c>
      <c r="F3" s="14">
        <v>2</v>
      </c>
      <c r="G3" s="14">
        <v>4</v>
      </c>
      <c r="H3" s="14" t="s">
        <v>105</v>
      </c>
      <c r="I3" s="14" t="s">
        <v>54</v>
      </c>
      <c r="J3" s="14">
        <v>2</v>
      </c>
      <c r="K3" s="14">
        <v>4</v>
      </c>
      <c r="L3" s="16"/>
      <c r="M3" s="16"/>
      <c r="N3" s="16"/>
      <c r="O3" s="16"/>
      <c r="P3" s="16"/>
      <c r="Q3" s="16"/>
      <c r="R3" s="18"/>
      <c r="S3" s="16"/>
      <c r="T3" s="16"/>
      <c r="U3" s="16"/>
      <c r="V3" s="16"/>
      <c r="W3" s="16"/>
      <c r="X3" s="16"/>
      <c r="Y3" s="16"/>
      <c r="Z3" s="16"/>
      <c r="AA3" s="17"/>
    </row>
    <row r="4" spans="1:27" ht="15.75" x14ac:dyDescent="0.25">
      <c r="A4" s="5"/>
      <c r="B4" s="5"/>
      <c r="C4" s="22" t="s">
        <v>59</v>
      </c>
      <c r="D4" s="5"/>
      <c r="E4" s="5"/>
      <c r="F4" s="14">
        <v>2</v>
      </c>
      <c r="G4" s="14">
        <v>4</v>
      </c>
      <c r="H4" s="14" t="s">
        <v>106</v>
      </c>
      <c r="I4" s="14" t="s">
        <v>54</v>
      </c>
      <c r="J4" s="14">
        <v>2</v>
      </c>
      <c r="K4" s="14">
        <v>4</v>
      </c>
      <c r="L4" s="16"/>
      <c r="M4" s="16"/>
      <c r="N4" s="16"/>
      <c r="O4" s="16"/>
      <c r="P4" s="16"/>
      <c r="Q4" s="16"/>
      <c r="R4" s="18"/>
      <c r="S4" s="16"/>
      <c r="T4" s="16"/>
      <c r="U4" s="16"/>
      <c r="V4" s="16"/>
      <c r="W4" s="16"/>
      <c r="X4" s="16"/>
      <c r="Y4" s="16"/>
      <c r="Z4" s="16"/>
      <c r="AA4" s="17"/>
    </row>
    <row r="5" spans="1:27" ht="15.75" x14ac:dyDescent="0.25">
      <c r="A5" s="5"/>
      <c r="B5" s="5"/>
      <c r="C5" s="5"/>
      <c r="D5" s="14">
        <v>1511024</v>
      </c>
      <c r="E5" s="22" t="s">
        <v>110</v>
      </c>
      <c r="F5" s="14">
        <v>4</v>
      </c>
      <c r="G5" s="14">
        <v>8</v>
      </c>
      <c r="H5" s="14" t="s">
        <v>53</v>
      </c>
      <c r="I5" s="14" t="s">
        <v>54</v>
      </c>
      <c r="J5" s="14">
        <v>4</v>
      </c>
      <c r="K5" s="14">
        <v>8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7"/>
    </row>
    <row r="6" spans="1:27" ht="15.75" x14ac:dyDescent="0.25">
      <c r="A6" s="5"/>
      <c r="B6" s="5"/>
      <c r="C6" s="5"/>
      <c r="D6" s="5"/>
      <c r="E6" s="5"/>
      <c r="F6" s="14">
        <v>4</v>
      </c>
      <c r="G6" s="14">
        <v>8</v>
      </c>
      <c r="H6" s="14" t="s">
        <v>55</v>
      </c>
      <c r="I6" s="14" t="s">
        <v>54</v>
      </c>
      <c r="J6" s="14">
        <v>4</v>
      </c>
      <c r="K6" s="14">
        <v>8</v>
      </c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7"/>
    </row>
    <row r="7" spans="1:27" ht="15.75" x14ac:dyDescent="0.25">
      <c r="A7" s="5"/>
      <c r="B7" s="5"/>
      <c r="C7" s="5"/>
      <c r="D7" s="10">
        <v>1110012</v>
      </c>
      <c r="E7" s="5" t="s">
        <v>76</v>
      </c>
      <c r="F7" s="14">
        <v>2</v>
      </c>
      <c r="G7" s="14">
        <v>0</v>
      </c>
      <c r="H7" s="14" t="s">
        <v>18</v>
      </c>
      <c r="I7" s="14" t="s">
        <v>12</v>
      </c>
      <c r="J7" s="14">
        <v>2</v>
      </c>
      <c r="K7" s="14">
        <v>2</v>
      </c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7"/>
    </row>
    <row r="8" spans="1:27" ht="15.75" x14ac:dyDescent="0.25">
      <c r="A8" s="5"/>
      <c r="B8" s="5"/>
      <c r="C8" s="5"/>
      <c r="D8" s="11"/>
      <c r="E8" s="11"/>
      <c r="F8" s="5"/>
      <c r="G8" s="5"/>
      <c r="H8" s="5"/>
      <c r="I8" s="5"/>
      <c r="J8" s="5"/>
      <c r="K8" s="14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</row>
    <row r="9" spans="1:27" ht="26.25" x14ac:dyDescent="0.4">
      <c r="A9" s="19">
        <v>2</v>
      </c>
      <c r="B9" s="19" t="s">
        <v>111</v>
      </c>
      <c r="C9" s="20" t="s">
        <v>69</v>
      </c>
      <c r="D9" s="3"/>
      <c r="E9" s="3"/>
      <c r="F9" s="3"/>
      <c r="G9" s="3"/>
      <c r="H9" s="3"/>
      <c r="I9" s="3"/>
      <c r="J9" s="21">
        <f>SUM(J10:J16)</f>
        <v>18</v>
      </c>
      <c r="K9" s="21">
        <f>SUM(K10:K16)</f>
        <v>28</v>
      </c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7"/>
    </row>
    <row r="10" spans="1:27" ht="15.75" x14ac:dyDescent="0.25">
      <c r="A10" s="5"/>
      <c r="B10" s="5"/>
      <c r="C10" s="22" t="s">
        <v>49</v>
      </c>
      <c r="D10" s="27">
        <v>1512012</v>
      </c>
      <c r="E10" s="28" t="s">
        <v>76</v>
      </c>
      <c r="F10" s="14">
        <v>2</v>
      </c>
      <c r="G10" s="14">
        <v>3</v>
      </c>
      <c r="H10" s="14" t="s">
        <v>53</v>
      </c>
      <c r="I10" s="14" t="s">
        <v>54</v>
      </c>
      <c r="J10" s="14">
        <v>2</v>
      </c>
      <c r="K10" s="14">
        <v>3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7"/>
    </row>
    <row r="11" spans="1:27" ht="15.75" x14ac:dyDescent="0.25">
      <c r="A11" s="5"/>
      <c r="B11" s="5"/>
      <c r="C11" s="22" t="s">
        <v>50</v>
      </c>
      <c r="D11" s="25"/>
      <c r="E11" s="25"/>
      <c r="F11" s="14">
        <v>2</v>
      </c>
      <c r="G11" s="14">
        <v>3</v>
      </c>
      <c r="H11" s="14" t="s">
        <v>55</v>
      </c>
      <c r="I11" s="14" t="s">
        <v>54</v>
      </c>
      <c r="J11" s="14">
        <v>2</v>
      </c>
      <c r="K11" s="14">
        <v>3</v>
      </c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7"/>
    </row>
    <row r="12" spans="1:27" ht="15.75" x14ac:dyDescent="0.25">
      <c r="A12" s="5"/>
      <c r="B12" s="5"/>
      <c r="C12" s="5"/>
      <c r="D12" s="27">
        <v>1160482</v>
      </c>
      <c r="E12" s="28" t="s">
        <v>61</v>
      </c>
      <c r="F12" s="14">
        <v>3</v>
      </c>
      <c r="G12" s="14">
        <v>5</v>
      </c>
      <c r="H12" s="14" t="s">
        <v>105</v>
      </c>
      <c r="I12" s="14" t="s">
        <v>54</v>
      </c>
      <c r="J12" s="14">
        <v>3</v>
      </c>
      <c r="K12" s="14">
        <v>5</v>
      </c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7"/>
    </row>
    <row r="13" spans="1:27" ht="15.75" x14ac:dyDescent="0.25">
      <c r="A13" s="5"/>
      <c r="B13" s="5"/>
      <c r="C13" s="5"/>
      <c r="D13" s="25"/>
      <c r="E13" s="25"/>
      <c r="F13" s="14">
        <v>3</v>
      </c>
      <c r="G13" s="14">
        <v>5</v>
      </c>
      <c r="H13" s="14" t="s">
        <v>106</v>
      </c>
      <c r="I13" s="14" t="s">
        <v>54</v>
      </c>
      <c r="J13" s="14">
        <v>3</v>
      </c>
      <c r="K13" s="14">
        <v>5</v>
      </c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7"/>
    </row>
    <row r="14" spans="1:27" ht="15.75" x14ac:dyDescent="0.25">
      <c r="A14" s="5"/>
      <c r="B14" s="5"/>
      <c r="C14" s="5"/>
      <c r="D14" s="29">
        <v>1532033</v>
      </c>
      <c r="E14" s="28" t="s">
        <v>104</v>
      </c>
      <c r="F14" s="14">
        <v>3</v>
      </c>
      <c r="G14" s="14">
        <v>5</v>
      </c>
      <c r="H14" s="14" t="s">
        <v>105</v>
      </c>
      <c r="I14" s="14" t="s">
        <v>54</v>
      </c>
      <c r="J14" s="14">
        <v>3</v>
      </c>
      <c r="K14" s="14">
        <v>5</v>
      </c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7"/>
    </row>
    <row r="15" spans="1:27" ht="15.75" x14ac:dyDescent="0.25">
      <c r="A15" s="5"/>
      <c r="B15" s="5"/>
      <c r="C15" s="5"/>
      <c r="D15" s="25"/>
      <c r="E15" s="25"/>
      <c r="F15" s="14">
        <v>3</v>
      </c>
      <c r="G15" s="14">
        <v>5</v>
      </c>
      <c r="H15" s="14" t="s">
        <v>106</v>
      </c>
      <c r="I15" s="14" t="s">
        <v>54</v>
      </c>
      <c r="J15" s="14">
        <v>3</v>
      </c>
      <c r="K15" s="14">
        <v>5</v>
      </c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7"/>
    </row>
    <row r="16" spans="1:27" ht="15.75" x14ac:dyDescent="0.25">
      <c r="A16" s="5"/>
      <c r="B16" s="5"/>
      <c r="C16" s="5"/>
      <c r="D16" s="30">
        <v>1110012</v>
      </c>
      <c r="E16" s="25" t="s">
        <v>76</v>
      </c>
      <c r="F16" s="14">
        <v>2</v>
      </c>
      <c r="G16" s="14">
        <v>4</v>
      </c>
      <c r="H16" s="14" t="s">
        <v>19</v>
      </c>
      <c r="I16" s="14" t="s">
        <v>12</v>
      </c>
      <c r="J16" s="14">
        <v>2</v>
      </c>
      <c r="K16" s="14">
        <v>2</v>
      </c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7"/>
    </row>
    <row r="17" spans="1:27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7"/>
    </row>
    <row r="18" spans="1:27" ht="26.25" x14ac:dyDescent="0.4">
      <c r="A18" s="19">
        <v>3</v>
      </c>
      <c r="B18" s="19" t="s">
        <v>62</v>
      </c>
      <c r="C18" s="20" t="s">
        <v>63</v>
      </c>
      <c r="D18" s="3"/>
      <c r="E18" s="3"/>
      <c r="F18" s="3"/>
      <c r="G18" s="3"/>
      <c r="H18" s="3"/>
      <c r="I18" s="3"/>
      <c r="J18" s="21">
        <f>SUM(J19:J24)</f>
        <v>14</v>
      </c>
      <c r="K18" s="21">
        <f>SUM(K19:K24)</f>
        <v>20</v>
      </c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7"/>
    </row>
    <row r="19" spans="1:27" ht="15.75" x14ac:dyDescent="0.25">
      <c r="A19" s="5"/>
      <c r="B19" s="5"/>
      <c r="C19" s="22" t="s">
        <v>64</v>
      </c>
      <c r="D19" s="27">
        <v>1512043</v>
      </c>
      <c r="E19" s="28" t="s">
        <v>107</v>
      </c>
      <c r="F19" s="14">
        <v>2</v>
      </c>
      <c r="G19" s="14">
        <v>4</v>
      </c>
      <c r="H19" s="14" t="s">
        <v>53</v>
      </c>
      <c r="I19" s="14" t="s">
        <v>54</v>
      </c>
      <c r="J19" s="14">
        <v>2</v>
      </c>
      <c r="K19" s="14">
        <v>4</v>
      </c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</row>
    <row r="20" spans="1:27" ht="15.75" x14ac:dyDescent="0.25">
      <c r="A20" s="5"/>
      <c r="B20" s="5"/>
      <c r="C20" s="22" t="s">
        <v>65</v>
      </c>
      <c r="D20" s="25"/>
      <c r="E20" s="25"/>
      <c r="F20" s="14">
        <v>2</v>
      </c>
      <c r="G20" s="14">
        <v>4</v>
      </c>
      <c r="H20" s="14" t="s">
        <v>55</v>
      </c>
      <c r="I20" s="14" t="s">
        <v>54</v>
      </c>
      <c r="J20" s="14">
        <v>2</v>
      </c>
      <c r="K20" s="14">
        <v>4</v>
      </c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7"/>
    </row>
    <row r="21" spans="1:27" ht="15.75" x14ac:dyDescent="0.25">
      <c r="A21" s="5"/>
      <c r="B21" s="5"/>
      <c r="C21" s="5"/>
      <c r="D21" s="27">
        <v>1532023</v>
      </c>
      <c r="E21" s="28" t="s">
        <v>112</v>
      </c>
      <c r="F21" s="14">
        <v>3</v>
      </c>
      <c r="G21" s="14">
        <v>4</v>
      </c>
      <c r="H21" s="14" t="s">
        <v>105</v>
      </c>
      <c r="I21" s="14" t="s">
        <v>54</v>
      </c>
      <c r="J21" s="14">
        <v>3</v>
      </c>
      <c r="K21" s="14">
        <v>4</v>
      </c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27" ht="15.75" x14ac:dyDescent="0.25">
      <c r="A22" s="5"/>
      <c r="B22" s="5"/>
      <c r="C22" s="5"/>
      <c r="D22" s="25"/>
      <c r="E22" s="25"/>
      <c r="F22" s="14">
        <v>3</v>
      </c>
      <c r="G22" s="14">
        <v>4</v>
      </c>
      <c r="H22" s="14" t="s">
        <v>106</v>
      </c>
      <c r="I22" s="14" t="s">
        <v>54</v>
      </c>
      <c r="J22" s="14">
        <v>3</v>
      </c>
      <c r="K22" s="14">
        <v>4</v>
      </c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7"/>
    </row>
    <row r="23" spans="1:27" ht="15.75" x14ac:dyDescent="0.25">
      <c r="A23" s="5"/>
      <c r="B23" s="5"/>
      <c r="C23" s="5"/>
      <c r="D23" s="27">
        <v>1530062</v>
      </c>
      <c r="E23" s="28" t="s">
        <v>113</v>
      </c>
      <c r="F23" s="14">
        <v>2</v>
      </c>
      <c r="G23" s="14">
        <v>2</v>
      </c>
      <c r="H23" s="14" t="s">
        <v>105</v>
      </c>
      <c r="I23" s="14" t="s">
        <v>54</v>
      </c>
      <c r="J23" s="14">
        <v>2</v>
      </c>
      <c r="K23" s="14">
        <v>2</v>
      </c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</row>
    <row r="24" spans="1:27" ht="15.75" x14ac:dyDescent="0.25">
      <c r="A24" s="5"/>
      <c r="B24" s="5"/>
      <c r="C24" s="5"/>
      <c r="D24" s="25"/>
      <c r="E24" s="25"/>
      <c r="F24" s="14">
        <v>2</v>
      </c>
      <c r="G24" s="14">
        <v>2</v>
      </c>
      <c r="H24" s="14" t="s">
        <v>106</v>
      </c>
      <c r="I24" s="14" t="s">
        <v>54</v>
      </c>
      <c r="J24" s="14">
        <v>2</v>
      </c>
      <c r="K24" s="14">
        <v>2</v>
      </c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27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27" ht="26.25" x14ac:dyDescent="0.4">
      <c r="A26" s="19">
        <v>4</v>
      </c>
      <c r="B26" s="19" t="s">
        <v>66</v>
      </c>
      <c r="C26" s="20" t="s">
        <v>67</v>
      </c>
      <c r="D26" s="3"/>
      <c r="E26" s="3"/>
      <c r="F26" s="3"/>
      <c r="G26" s="3"/>
      <c r="H26" s="3"/>
      <c r="I26" s="3"/>
      <c r="J26" s="21">
        <f>SUM(J27:J32)</f>
        <v>14</v>
      </c>
      <c r="K26" s="21">
        <f>SUM(K27:K32)</f>
        <v>22</v>
      </c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27" ht="15.75" x14ac:dyDescent="0.25">
      <c r="A27" s="5"/>
      <c r="B27" s="5"/>
      <c r="C27" s="22" t="s">
        <v>21</v>
      </c>
      <c r="D27" s="27">
        <v>1510052</v>
      </c>
      <c r="E27" s="28" t="s">
        <v>114</v>
      </c>
      <c r="F27" s="14">
        <v>2</v>
      </c>
      <c r="G27" s="14">
        <v>2</v>
      </c>
      <c r="H27" s="14" t="s">
        <v>53</v>
      </c>
      <c r="I27" s="14" t="s">
        <v>54</v>
      </c>
      <c r="J27" s="14">
        <v>2</v>
      </c>
      <c r="K27" s="14">
        <v>2</v>
      </c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27" ht="15.75" x14ac:dyDescent="0.25">
      <c r="A28" s="5"/>
      <c r="B28" s="5"/>
      <c r="C28" s="22" t="s">
        <v>68</v>
      </c>
      <c r="D28" s="25"/>
      <c r="E28" s="25"/>
      <c r="F28" s="14">
        <v>2</v>
      </c>
      <c r="G28" s="14">
        <v>2</v>
      </c>
      <c r="H28" s="14" t="s">
        <v>55</v>
      </c>
      <c r="I28" s="14" t="s">
        <v>54</v>
      </c>
      <c r="J28" s="14">
        <v>2</v>
      </c>
      <c r="K28" s="14">
        <v>2</v>
      </c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27" ht="15.75" x14ac:dyDescent="0.25">
      <c r="A29" s="5"/>
      <c r="B29" s="5"/>
      <c r="C29" s="5"/>
      <c r="D29" s="27">
        <v>1532013</v>
      </c>
      <c r="E29" s="28" t="s">
        <v>108</v>
      </c>
      <c r="F29" s="14">
        <v>2</v>
      </c>
      <c r="G29" s="14">
        <v>4</v>
      </c>
      <c r="H29" s="14" t="s">
        <v>105</v>
      </c>
      <c r="I29" s="14" t="s">
        <v>54</v>
      </c>
      <c r="J29" s="14">
        <v>2</v>
      </c>
      <c r="K29" s="14">
        <v>4</v>
      </c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27" ht="15.75" x14ac:dyDescent="0.25">
      <c r="A30" s="5"/>
      <c r="B30" s="5"/>
      <c r="C30" s="5"/>
      <c r="D30" s="25"/>
      <c r="E30" s="25"/>
      <c r="F30" s="14">
        <v>2</v>
      </c>
      <c r="G30" s="14">
        <v>4</v>
      </c>
      <c r="H30" s="14" t="s">
        <v>106</v>
      </c>
      <c r="I30" s="14" t="s">
        <v>54</v>
      </c>
      <c r="J30" s="14">
        <v>2</v>
      </c>
      <c r="K30" s="14">
        <v>4</v>
      </c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7"/>
    </row>
    <row r="31" spans="1:27" ht="15.75" x14ac:dyDescent="0.25">
      <c r="A31" s="5"/>
      <c r="B31" s="5"/>
      <c r="C31" s="5"/>
      <c r="D31" s="27">
        <v>1532053</v>
      </c>
      <c r="E31" s="28" t="s">
        <v>115</v>
      </c>
      <c r="F31" s="14">
        <v>3</v>
      </c>
      <c r="G31" s="14">
        <v>5</v>
      </c>
      <c r="H31" s="14" t="s">
        <v>105</v>
      </c>
      <c r="I31" s="14" t="s">
        <v>54</v>
      </c>
      <c r="J31" s="14">
        <v>3</v>
      </c>
      <c r="K31" s="14">
        <v>5</v>
      </c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7"/>
    </row>
    <row r="32" spans="1:27" ht="15.75" x14ac:dyDescent="0.25">
      <c r="A32" s="5"/>
      <c r="B32" s="5"/>
      <c r="C32" s="5"/>
      <c r="D32" s="11"/>
      <c r="E32" s="11"/>
      <c r="F32" s="14">
        <v>3</v>
      </c>
      <c r="G32" s="14">
        <v>5</v>
      </c>
      <c r="H32" s="14" t="s">
        <v>106</v>
      </c>
      <c r="I32" s="14" t="s">
        <v>54</v>
      </c>
      <c r="J32" s="14">
        <v>3</v>
      </c>
      <c r="K32" s="14">
        <v>5</v>
      </c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7"/>
    </row>
    <row r="33" spans="1:27" x14ac:dyDescent="0.25">
      <c r="A33" s="5"/>
      <c r="B33" s="5"/>
      <c r="C33" s="5"/>
      <c r="D33" s="11"/>
      <c r="E33" s="11"/>
      <c r="F33" s="5"/>
      <c r="G33" s="5"/>
      <c r="H33" s="5"/>
      <c r="I33" s="5"/>
      <c r="J33" s="5"/>
      <c r="K33" s="5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7"/>
    </row>
    <row r="34" spans="1:27" ht="26.25" x14ac:dyDescent="0.4">
      <c r="A34" s="19">
        <v>5</v>
      </c>
      <c r="B34" s="19" t="s">
        <v>73</v>
      </c>
      <c r="C34" s="23" t="s">
        <v>74</v>
      </c>
      <c r="D34" s="3"/>
      <c r="E34" s="3"/>
      <c r="F34" s="3"/>
      <c r="G34" s="3"/>
      <c r="H34" s="3"/>
      <c r="I34" s="3"/>
      <c r="J34" s="21">
        <f>SUM(J35:J36)</f>
        <v>6</v>
      </c>
      <c r="K34" s="21">
        <f>SUM(K35:K36)</f>
        <v>8</v>
      </c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7"/>
    </row>
    <row r="35" spans="1:27" ht="15.75" x14ac:dyDescent="0.25">
      <c r="A35" s="5"/>
      <c r="B35" s="5"/>
      <c r="C35" s="22" t="s">
        <v>21</v>
      </c>
      <c r="D35" s="14">
        <v>92</v>
      </c>
      <c r="E35" s="22" t="s">
        <v>116</v>
      </c>
      <c r="F35" s="14">
        <v>3</v>
      </c>
      <c r="G35" s="14">
        <v>4</v>
      </c>
      <c r="H35" s="14" t="s">
        <v>53</v>
      </c>
      <c r="I35" s="14" t="s">
        <v>54</v>
      </c>
      <c r="J35" s="14">
        <v>3</v>
      </c>
      <c r="K35" s="14">
        <v>4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7"/>
    </row>
    <row r="36" spans="1:27" ht="15.75" x14ac:dyDescent="0.25">
      <c r="A36" s="5"/>
      <c r="B36" s="5"/>
      <c r="C36" s="5"/>
      <c r="D36" s="11"/>
      <c r="E36" s="11"/>
      <c r="F36" s="14">
        <v>3</v>
      </c>
      <c r="G36" s="14">
        <v>4</v>
      </c>
      <c r="H36" s="14" t="s">
        <v>55</v>
      </c>
      <c r="I36" s="14" t="s">
        <v>54</v>
      </c>
      <c r="J36" s="14">
        <v>3</v>
      </c>
      <c r="K36" s="14">
        <v>4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7"/>
    </row>
    <row r="37" spans="1:27" ht="26.25" x14ac:dyDescent="0.4">
      <c r="A37" s="31">
        <v>6</v>
      </c>
      <c r="B37" s="3" t="s">
        <v>85</v>
      </c>
      <c r="C37" s="20" t="s">
        <v>42</v>
      </c>
      <c r="D37" s="3"/>
      <c r="E37" s="3"/>
      <c r="F37" s="3"/>
      <c r="G37" s="3"/>
      <c r="H37" s="3"/>
      <c r="I37" s="3"/>
      <c r="J37" s="21">
        <f>SUM(J38:J39)</f>
        <v>4</v>
      </c>
      <c r="K37" s="21">
        <f>SUM(K38:K39)</f>
        <v>4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7"/>
    </row>
    <row r="38" spans="1:27" ht="15.75" x14ac:dyDescent="0.25">
      <c r="A38" s="5"/>
      <c r="B38" s="5"/>
      <c r="C38" s="5"/>
      <c r="D38" s="14">
        <v>52</v>
      </c>
      <c r="E38" s="22" t="s">
        <v>75</v>
      </c>
      <c r="F38" s="14">
        <v>2</v>
      </c>
      <c r="G38" s="14">
        <v>2</v>
      </c>
      <c r="H38" s="14" t="s">
        <v>53</v>
      </c>
      <c r="I38" s="14" t="s">
        <v>54</v>
      </c>
      <c r="J38" s="14">
        <v>2</v>
      </c>
      <c r="K38" s="14">
        <v>2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7"/>
    </row>
    <row r="39" spans="1:27" ht="15.75" x14ac:dyDescent="0.25">
      <c r="A39" s="5"/>
      <c r="B39" s="5"/>
      <c r="C39" s="5"/>
      <c r="D39" s="11"/>
      <c r="E39" s="11"/>
      <c r="F39" s="14">
        <v>2</v>
      </c>
      <c r="G39" s="14">
        <v>2</v>
      </c>
      <c r="H39" s="14" t="s">
        <v>55</v>
      </c>
      <c r="I39" s="14" t="s">
        <v>54</v>
      </c>
      <c r="J39" s="14">
        <v>2</v>
      </c>
      <c r="K39" s="14">
        <v>2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7"/>
    </row>
    <row r="40" spans="1:27" ht="15.75" x14ac:dyDescent="0.25">
      <c r="A40" s="1">
        <v>7</v>
      </c>
      <c r="B40" s="1" t="s">
        <v>143</v>
      </c>
      <c r="C40" s="2" t="s">
        <v>142</v>
      </c>
      <c r="D40" s="3"/>
      <c r="E40" s="3"/>
      <c r="F40" s="3"/>
      <c r="G40" s="3"/>
      <c r="H40" s="3"/>
      <c r="I40" s="3"/>
      <c r="J40" s="4">
        <f>SUM(J41:J43)</f>
        <v>8</v>
      </c>
      <c r="K40" s="4">
        <f>SUM(K41:K43)</f>
        <v>8</v>
      </c>
      <c r="L40" s="2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7"/>
    </row>
    <row r="41" spans="1:27" ht="15.75" x14ac:dyDescent="0.25">
      <c r="A41" s="5"/>
      <c r="B41" s="5"/>
      <c r="C41" s="6"/>
      <c r="D41" s="38" t="s">
        <v>138</v>
      </c>
      <c r="E41" s="5" t="s">
        <v>139</v>
      </c>
      <c r="F41" s="9">
        <v>2</v>
      </c>
      <c r="G41" s="9">
        <v>2</v>
      </c>
      <c r="H41" s="14" t="s">
        <v>53</v>
      </c>
      <c r="I41" s="14" t="s">
        <v>54</v>
      </c>
      <c r="J41" s="9">
        <v>2</v>
      </c>
      <c r="K41" s="9">
        <v>2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7"/>
    </row>
    <row r="42" spans="1:27" ht="15.75" x14ac:dyDescent="0.25">
      <c r="A42" s="5"/>
      <c r="B42" s="5"/>
      <c r="C42" s="5"/>
      <c r="D42" s="5"/>
      <c r="E42" s="5"/>
      <c r="F42" s="9">
        <v>2</v>
      </c>
      <c r="G42" s="9">
        <v>2</v>
      </c>
      <c r="H42" s="14" t="s">
        <v>55</v>
      </c>
      <c r="I42" s="14" t="s">
        <v>54</v>
      </c>
      <c r="J42" s="9">
        <v>2</v>
      </c>
      <c r="K42" s="9">
        <v>2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7"/>
    </row>
    <row r="43" spans="1:27" ht="15.75" x14ac:dyDescent="0.25">
      <c r="A43" s="1">
        <v>8</v>
      </c>
      <c r="B43" s="1" t="s">
        <v>144</v>
      </c>
      <c r="C43" s="2" t="s">
        <v>145</v>
      </c>
      <c r="D43" s="3"/>
      <c r="E43" s="3"/>
      <c r="F43" s="3"/>
      <c r="G43" s="3"/>
      <c r="H43" s="3"/>
      <c r="I43" s="3"/>
      <c r="J43" s="4">
        <f>SUM(J44:J46)</f>
        <v>4</v>
      </c>
      <c r="K43" s="4">
        <f>SUM(K44:K46)</f>
        <v>4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7"/>
    </row>
    <row r="44" spans="1:27" ht="15.75" x14ac:dyDescent="0.25">
      <c r="A44" s="5"/>
      <c r="B44" s="5"/>
      <c r="C44" s="6"/>
      <c r="D44" s="38" t="s">
        <v>140</v>
      </c>
      <c r="E44" s="5" t="s">
        <v>60</v>
      </c>
      <c r="F44" s="9">
        <v>2</v>
      </c>
      <c r="G44" s="9">
        <v>2</v>
      </c>
      <c r="H44" s="14" t="s">
        <v>53</v>
      </c>
      <c r="I44" s="14" t="s">
        <v>54</v>
      </c>
      <c r="J44" s="9">
        <v>2</v>
      </c>
      <c r="K44" s="9">
        <v>2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7"/>
    </row>
    <row r="45" spans="1:27" ht="15.75" x14ac:dyDescent="0.25">
      <c r="A45" s="5"/>
      <c r="B45" s="5"/>
      <c r="C45" s="5"/>
      <c r="D45" s="5"/>
      <c r="E45" s="5"/>
      <c r="F45" s="9">
        <v>2</v>
      </c>
      <c r="G45" s="9">
        <v>2</v>
      </c>
      <c r="H45" s="14" t="s">
        <v>55</v>
      </c>
      <c r="I45" s="14" t="s">
        <v>54</v>
      </c>
      <c r="J45" s="9">
        <v>2</v>
      </c>
      <c r="K45" s="9">
        <v>2</v>
      </c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7"/>
    </row>
    <row r="46" spans="1:27" x14ac:dyDescent="0.25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7"/>
    </row>
    <row r="47" spans="1:27" x14ac:dyDescent="0.25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7"/>
    </row>
    <row r="48" spans="1:27" x14ac:dyDescent="0.25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7"/>
    </row>
    <row r="49" spans="1:27" x14ac:dyDescent="0.25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7"/>
    </row>
    <row r="50" spans="1:27" x14ac:dyDescent="0.25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7"/>
    </row>
    <row r="51" spans="1:27" x14ac:dyDescent="0.25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7"/>
    </row>
    <row r="52" spans="1:27" x14ac:dyDescent="0.25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7"/>
    </row>
    <row r="53" spans="1:27" x14ac:dyDescent="0.25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7"/>
    </row>
    <row r="54" spans="1:27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7"/>
    </row>
    <row r="55" spans="1:27" x14ac:dyDescent="0.25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7"/>
    </row>
    <row r="56" spans="1:27" x14ac:dyDescent="0.25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7"/>
    </row>
    <row r="57" spans="1:27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7"/>
    </row>
    <row r="58" spans="1:27" x14ac:dyDescent="0.25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7"/>
    </row>
    <row r="59" spans="1:27" x14ac:dyDescent="0.25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7"/>
    </row>
    <row r="60" spans="1:27" x14ac:dyDescent="0.25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7"/>
    </row>
    <row r="61" spans="1:27" x14ac:dyDescent="0.25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7"/>
    </row>
    <row r="62" spans="1:27" x14ac:dyDescent="0.25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7"/>
    </row>
    <row r="63" spans="1:27" x14ac:dyDescent="0.25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7"/>
    </row>
    <row r="64" spans="1:27" x14ac:dyDescent="0.25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7"/>
    </row>
    <row r="65" spans="1:27" x14ac:dyDescent="0.25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7"/>
    </row>
    <row r="66" spans="1:27" x14ac:dyDescent="0.25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7"/>
    </row>
    <row r="67" spans="1:27" x14ac:dyDescent="0.25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7"/>
    </row>
    <row r="68" spans="1:27" x14ac:dyDescent="0.25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7"/>
    </row>
    <row r="69" spans="1:27" x14ac:dyDescent="0.25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7"/>
    </row>
    <row r="70" spans="1:27" x14ac:dyDescent="0.25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7"/>
    </row>
    <row r="71" spans="1:27" x14ac:dyDescent="0.25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7"/>
    </row>
    <row r="72" spans="1:27" x14ac:dyDescent="0.25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7"/>
    </row>
    <row r="73" spans="1:27" x14ac:dyDescent="0.25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7"/>
    </row>
    <row r="74" spans="1:27" x14ac:dyDescent="0.25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7"/>
    </row>
    <row r="75" spans="1:27" x14ac:dyDescent="0.25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7"/>
    </row>
    <row r="76" spans="1:27" x14ac:dyDescent="0.25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7"/>
    </row>
    <row r="77" spans="1:27" x14ac:dyDescent="0.25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7"/>
    </row>
    <row r="78" spans="1:27" x14ac:dyDescent="0.25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7"/>
    </row>
    <row r="79" spans="1:27" x14ac:dyDescent="0.25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7"/>
    </row>
    <row r="80" spans="1:27" x14ac:dyDescent="0.25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7"/>
    </row>
    <row r="81" spans="1:27" x14ac:dyDescent="0.25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7"/>
    </row>
    <row r="82" spans="1:27" x14ac:dyDescent="0.25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7"/>
    </row>
    <row r="83" spans="1:27" x14ac:dyDescent="0.25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7"/>
    </row>
    <row r="84" spans="1:27" x14ac:dyDescent="0.25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7"/>
    </row>
    <row r="85" spans="1:27" x14ac:dyDescent="0.25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7"/>
    </row>
    <row r="86" spans="1:27" x14ac:dyDescent="0.25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7"/>
    </row>
    <row r="87" spans="1:27" x14ac:dyDescent="0.25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7"/>
    </row>
    <row r="88" spans="1:27" x14ac:dyDescent="0.25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7"/>
    </row>
    <row r="89" spans="1:27" x14ac:dyDescent="0.25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7"/>
    </row>
    <row r="90" spans="1:27" x14ac:dyDescent="0.25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7"/>
    </row>
    <row r="91" spans="1:27" x14ac:dyDescent="0.25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7"/>
    </row>
    <row r="92" spans="1:27" x14ac:dyDescent="0.25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7"/>
    </row>
    <row r="93" spans="1:27" x14ac:dyDescent="0.25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7"/>
    </row>
    <row r="94" spans="1:27" x14ac:dyDescent="0.25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7"/>
    </row>
    <row r="95" spans="1:27" x14ac:dyDescent="0.25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7"/>
    </row>
    <row r="96" spans="1:27" x14ac:dyDescent="0.25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7"/>
    </row>
    <row r="97" spans="1:27" x14ac:dyDescent="0.25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7"/>
    </row>
    <row r="98" spans="1:27" x14ac:dyDescent="0.25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7"/>
    </row>
    <row r="99" spans="1:27" x14ac:dyDescent="0.25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7"/>
    </row>
    <row r="100" spans="1:27" x14ac:dyDescent="0.25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7"/>
    </row>
    <row r="101" spans="1:27" x14ac:dyDescent="0.25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7"/>
    </row>
    <row r="102" spans="1:27" x14ac:dyDescent="0.25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7"/>
    </row>
    <row r="103" spans="1:27" x14ac:dyDescent="0.25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7"/>
    </row>
    <row r="104" spans="1:27" x14ac:dyDescent="0.25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7"/>
    </row>
    <row r="105" spans="1:27" x14ac:dyDescent="0.25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7"/>
    </row>
    <row r="106" spans="1:27" x14ac:dyDescent="0.25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7"/>
    </row>
    <row r="107" spans="1:27" x14ac:dyDescent="0.25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7"/>
    </row>
    <row r="108" spans="1:27" x14ac:dyDescent="0.25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7"/>
    </row>
    <row r="109" spans="1:27" x14ac:dyDescent="0.25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7"/>
    </row>
    <row r="110" spans="1:27" x14ac:dyDescent="0.25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7"/>
    </row>
    <row r="111" spans="1:27" x14ac:dyDescent="0.25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7"/>
    </row>
    <row r="112" spans="1:27" x14ac:dyDescent="0.25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7"/>
    </row>
    <row r="113" spans="1:27" x14ac:dyDescent="0.25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7"/>
    </row>
    <row r="114" spans="1:27" x14ac:dyDescent="0.25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7"/>
    </row>
    <row r="115" spans="1:27" x14ac:dyDescent="0.25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7"/>
    </row>
    <row r="116" spans="1:27" x14ac:dyDescent="0.25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7"/>
    </row>
    <row r="117" spans="1:27" x14ac:dyDescent="0.25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7"/>
    </row>
    <row r="118" spans="1:27" x14ac:dyDescent="0.25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7"/>
    </row>
    <row r="119" spans="1:27" x14ac:dyDescent="0.25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7"/>
    </row>
    <row r="120" spans="1:27" x14ac:dyDescent="0.25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7"/>
    </row>
    <row r="121" spans="1:27" x14ac:dyDescent="0.25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7"/>
    </row>
    <row r="122" spans="1:27" x14ac:dyDescent="0.25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7"/>
    </row>
    <row r="123" spans="1:27" x14ac:dyDescent="0.25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7"/>
    </row>
    <row r="124" spans="1:27" x14ac:dyDescent="0.25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7"/>
    </row>
    <row r="125" spans="1:27" x14ac:dyDescent="0.25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7"/>
    </row>
    <row r="126" spans="1:27" x14ac:dyDescent="0.25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7"/>
    </row>
    <row r="127" spans="1:27" x14ac:dyDescent="0.25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7"/>
    </row>
    <row r="128" spans="1:27" x14ac:dyDescent="0.25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7"/>
    </row>
    <row r="129" spans="1:27" x14ac:dyDescent="0.25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7"/>
    </row>
    <row r="130" spans="1:27" x14ac:dyDescent="0.25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7"/>
    </row>
    <row r="131" spans="1:27" x14ac:dyDescent="0.25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7"/>
    </row>
    <row r="132" spans="1:27" x14ac:dyDescent="0.25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7"/>
    </row>
    <row r="133" spans="1:27" x14ac:dyDescent="0.25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7"/>
    </row>
    <row r="134" spans="1:27" x14ac:dyDescent="0.25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7"/>
    </row>
    <row r="135" spans="1:27" x14ac:dyDescent="0.25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7"/>
    </row>
    <row r="136" spans="1:27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7"/>
    </row>
    <row r="137" spans="1:27" x14ac:dyDescent="0.25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7"/>
    </row>
    <row r="138" spans="1:27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7"/>
    </row>
    <row r="139" spans="1:27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7"/>
    </row>
    <row r="140" spans="1:27" x14ac:dyDescent="0.25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7"/>
    </row>
    <row r="141" spans="1:27" x14ac:dyDescent="0.25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7"/>
    </row>
    <row r="142" spans="1:27" x14ac:dyDescent="0.25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7"/>
    </row>
    <row r="143" spans="1:27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7"/>
    </row>
    <row r="144" spans="1:27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7"/>
    </row>
    <row r="145" spans="1:27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7"/>
    </row>
    <row r="146" spans="1:27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7"/>
    </row>
    <row r="147" spans="1:27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7"/>
    </row>
    <row r="148" spans="1:27" x14ac:dyDescent="0.25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7"/>
    </row>
    <row r="149" spans="1:27" x14ac:dyDescent="0.25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7"/>
    </row>
    <row r="150" spans="1:27" x14ac:dyDescent="0.25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7"/>
    </row>
    <row r="151" spans="1:27" x14ac:dyDescent="0.25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7"/>
    </row>
    <row r="152" spans="1:27" x14ac:dyDescent="0.2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7"/>
    </row>
    <row r="153" spans="1:27" x14ac:dyDescent="0.25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7"/>
    </row>
    <row r="154" spans="1:27" x14ac:dyDescent="0.25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7"/>
    </row>
    <row r="155" spans="1:27" x14ac:dyDescent="0.2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7"/>
    </row>
    <row r="156" spans="1:27" x14ac:dyDescent="0.25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7"/>
    </row>
    <row r="157" spans="1:27" x14ac:dyDescent="0.25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7"/>
    </row>
    <row r="158" spans="1:27" x14ac:dyDescent="0.25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7"/>
    </row>
    <row r="159" spans="1:27" x14ac:dyDescent="0.25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7"/>
    </row>
    <row r="160" spans="1:27" x14ac:dyDescent="0.2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7"/>
    </row>
    <row r="161" spans="1:27" x14ac:dyDescent="0.25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7"/>
    </row>
    <row r="162" spans="1:27" x14ac:dyDescent="0.2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7"/>
    </row>
    <row r="163" spans="1:27" x14ac:dyDescent="0.25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7"/>
    </row>
    <row r="164" spans="1:27" x14ac:dyDescent="0.2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7"/>
    </row>
    <row r="165" spans="1:27" x14ac:dyDescent="0.2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7"/>
    </row>
    <row r="166" spans="1:27" x14ac:dyDescent="0.2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7"/>
    </row>
    <row r="167" spans="1:27" x14ac:dyDescent="0.25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7"/>
    </row>
    <row r="168" spans="1:27" x14ac:dyDescent="0.25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7"/>
    </row>
    <row r="169" spans="1:27" x14ac:dyDescent="0.25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7"/>
    </row>
    <row r="170" spans="1:27" x14ac:dyDescent="0.25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7"/>
    </row>
    <row r="171" spans="1:27" x14ac:dyDescent="0.25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7"/>
    </row>
    <row r="172" spans="1:27" x14ac:dyDescent="0.25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7"/>
    </row>
    <row r="173" spans="1:27" x14ac:dyDescent="0.25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7"/>
    </row>
    <row r="174" spans="1:27" x14ac:dyDescent="0.25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7"/>
    </row>
    <row r="175" spans="1:27" x14ac:dyDescent="0.25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7"/>
    </row>
    <row r="176" spans="1:27" x14ac:dyDescent="0.25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7"/>
    </row>
    <row r="177" spans="1:27" x14ac:dyDescent="0.25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7"/>
    </row>
    <row r="178" spans="1:27" x14ac:dyDescent="0.25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7"/>
    </row>
    <row r="179" spans="1:27" x14ac:dyDescent="0.25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7"/>
    </row>
    <row r="180" spans="1:27" x14ac:dyDescent="0.25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7"/>
    </row>
    <row r="181" spans="1:27" x14ac:dyDescent="0.25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7"/>
    </row>
    <row r="182" spans="1:27" x14ac:dyDescent="0.25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7"/>
    </row>
    <row r="183" spans="1:27" x14ac:dyDescent="0.25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7"/>
    </row>
    <row r="184" spans="1:27" x14ac:dyDescent="0.25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7"/>
    </row>
    <row r="185" spans="1:27" x14ac:dyDescent="0.25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7"/>
    </row>
    <row r="186" spans="1:27" x14ac:dyDescent="0.25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7"/>
    </row>
    <row r="187" spans="1:27" x14ac:dyDescent="0.25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7"/>
    </row>
    <row r="188" spans="1:27" x14ac:dyDescent="0.25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7"/>
    </row>
    <row r="189" spans="1:27" x14ac:dyDescent="0.25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7"/>
    </row>
    <row r="190" spans="1:27" x14ac:dyDescent="0.25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7"/>
    </row>
    <row r="191" spans="1:27" x14ac:dyDescent="0.25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7"/>
    </row>
    <row r="192" spans="1:27" x14ac:dyDescent="0.25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7"/>
    </row>
    <row r="193" spans="1:27" x14ac:dyDescent="0.25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7"/>
    </row>
    <row r="194" spans="1:27" x14ac:dyDescent="0.25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7"/>
    </row>
    <row r="195" spans="1:27" x14ac:dyDescent="0.25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7"/>
    </row>
    <row r="196" spans="1:27" x14ac:dyDescent="0.25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7"/>
    </row>
    <row r="197" spans="1:27" x14ac:dyDescent="0.25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7"/>
    </row>
    <row r="198" spans="1:27" x14ac:dyDescent="0.25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7"/>
    </row>
    <row r="199" spans="1:27" x14ac:dyDescent="0.25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7"/>
    </row>
    <row r="200" spans="1:27" x14ac:dyDescent="0.25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7"/>
    </row>
    <row r="201" spans="1:27" x14ac:dyDescent="0.25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7"/>
    </row>
    <row r="202" spans="1:27" x14ac:dyDescent="0.25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7"/>
    </row>
    <row r="203" spans="1:27" x14ac:dyDescent="0.25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7"/>
    </row>
    <row r="204" spans="1:27" x14ac:dyDescent="0.25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7"/>
    </row>
    <row r="205" spans="1:27" x14ac:dyDescent="0.25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7"/>
    </row>
    <row r="206" spans="1:27" x14ac:dyDescent="0.25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7"/>
    </row>
    <row r="207" spans="1:27" x14ac:dyDescent="0.25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7"/>
    </row>
    <row r="208" spans="1:27" x14ac:dyDescent="0.25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7"/>
    </row>
    <row r="209" spans="1:27" x14ac:dyDescent="0.25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7"/>
    </row>
    <row r="210" spans="1:27" x14ac:dyDescent="0.25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7"/>
    </row>
    <row r="211" spans="1:27" x14ac:dyDescent="0.25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7"/>
    </row>
    <row r="212" spans="1:27" x14ac:dyDescent="0.25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7"/>
    </row>
    <row r="213" spans="1:27" x14ac:dyDescent="0.25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7"/>
    </row>
    <row r="214" spans="1:27" x14ac:dyDescent="0.25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7"/>
    </row>
    <row r="215" spans="1:27" x14ac:dyDescent="0.25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7"/>
    </row>
    <row r="216" spans="1:27" x14ac:dyDescent="0.25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7"/>
    </row>
    <row r="217" spans="1:27" x14ac:dyDescent="0.25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7"/>
    </row>
    <row r="218" spans="1:27" x14ac:dyDescent="0.25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7"/>
    </row>
    <row r="219" spans="1:27" x14ac:dyDescent="0.25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7"/>
    </row>
    <row r="220" spans="1:27" x14ac:dyDescent="0.25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7"/>
    </row>
    <row r="221" spans="1:27" x14ac:dyDescent="0.25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7"/>
    </row>
    <row r="222" spans="1:27" x14ac:dyDescent="0.25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7"/>
    </row>
    <row r="223" spans="1:27" x14ac:dyDescent="0.25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7"/>
    </row>
    <row r="224" spans="1:27" x14ac:dyDescent="0.25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7"/>
    </row>
    <row r="225" spans="1:27" x14ac:dyDescent="0.25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7"/>
    </row>
    <row r="226" spans="1:27" x14ac:dyDescent="0.25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7"/>
    </row>
    <row r="227" spans="1:27" x14ac:dyDescent="0.25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7"/>
    </row>
    <row r="228" spans="1:27" x14ac:dyDescent="0.25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7"/>
    </row>
    <row r="229" spans="1:27" x14ac:dyDescent="0.25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7"/>
    </row>
    <row r="230" spans="1:27" x14ac:dyDescent="0.25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7"/>
    </row>
    <row r="231" spans="1:27" x14ac:dyDescent="0.25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7"/>
    </row>
    <row r="232" spans="1:27" x14ac:dyDescent="0.25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7"/>
    </row>
    <row r="233" spans="1:27" x14ac:dyDescent="0.25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7"/>
    </row>
    <row r="234" spans="1:27" x14ac:dyDescent="0.25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7"/>
    </row>
    <row r="235" spans="1:27" x14ac:dyDescent="0.25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7"/>
    </row>
    <row r="236" spans="1:27" x14ac:dyDescent="0.25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7"/>
    </row>
    <row r="237" spans="1:27" x14ac:dyDescent="0.25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7"/>
    </row>
    <row r="238" spans="1:27" x14ac:dyDescent="0.25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7"/>
    </row>
    <row r="239" spans="1:27" x14ac:dyDescent="0.25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7"/>
    </row>
    <row r="240" spans="1:27" x14ac:dyDescent="0.25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7"/>
    </row>
    <row r="241" spans="1:27" x14ac:dyDescent="0.25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7"/>
    </row>
    <row r="242" spans="1:27" x14ac:dyDescent="0.25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7"/>
    </row>
    <row r="243" spans="1:27" x14ac:dyDescent="0.25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7"/>
    </row>
    <row r="244" spans="1:27" x14ac:dyDescent="0.25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7"/>
    </row>
    <row r="245" spans="1:27" x14ac:dyDescent="0.2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7"/>
    </row>
    <row r="246" spans="1:27" x14ac:dyDescent="0.25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7"/>
    </row>
    <row r="247" spans="1:27" x14ac:dyDescent="0.25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7"/>
    </row>
    <row r="248" spans="1:27" x14ac:dyDescent="0.2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7"/>
    </row>
    <row r="249" spans="1:27" x14ac:dyDescent="0.2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7"/>
    </row>
    <row r="250" spans="1:27" x14ac:dyDescent="0.2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7"/>
    </row>
    <row r="251" spans="1:27" x14ac:dyDescent="0.2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7"/>
    </row>
    <row r="252" spans="1:27" x14ac:dyDescent="0.2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  <c r="AA252" s="17"/>
    </row>
    <row r="253" spans="1:27" x14ac:dyDescent="0.2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  <c r="AA253" s="17"/>
    </row>
    <row r="254" spans="1:27" x14ac:dyDescent="0.2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  <c r="AA254" s="17"/>
    </row>
    <row r="255" spans="1:27" x14ac:dyDescent="0.2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  <c r="AA255" s="17"/>
    </row>
    <row r="256" spans="1:27" x14ac:dyDescent="0.2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  <c r="AA256" s="17"/>
    </row>
    <row r="257" spans="1:27" x14ac:dyDescent="0.2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  <c r="AA257" s="17"/>
    </row>
    <row r="258" spans="1:27" x14ac:dyDescent="0.2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  <c r="AA258" s="17"/>
    </row>
    <row r="259" spans="1:27" x14ac:dyDescent="0.2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  <c r="AA259" s="17"/>
    </row>
    <row r="260" spans="1:27" x14ac:dyDescent="0.2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  <c r="AA260" s="17"/>
    </row>
    <row r="261" spans="1:27" x14ac:dyDescent="0.2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  <c r="AA261" s="17"/>
    </row>
    <row r="262" spans="1:27" x14ac:dyDescent="0.2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  <c r="AA262" s="17"/>
    </row>
    <row r="263" spans="1:27" x14ac:dyDescent="0.2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  <c r="AA263" s="17"/>
    </row>
    <row r="264" spans="1:27" x14ac:dyDescent="0.2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  <c r="AA264" s="17"/>
    </row>
    <row r="265" spans="1:27" x14ac:dyDescent="0.2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  <c r="AA265" s="17"/>
    </row>
    <row r="266" spans="1:27" x14ac:dyDescent="0.2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  <c r="AA266" s="17"/>
    </row>
    <row r="267" spans="1:27" x14ac:dyDescent="0.2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  <c r="AA267" s="17"/>
    </row>
    <row r="268" spans="1:27" x14ac:dyDescent="0.2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  <c r="AA268" s="17"/>
    </row>
    <row r="269" spans="1:27" x14ac:dyDescent="0.2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  <c r="AA269" s="17"/>
    </row>
    <row r="270" spans="1:27" x14ac:dyDescent="0.2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  <c r="AA270" s="17"/>
    </row>
    <row r="271" spans="1:27" x14ac:dyDescent="0.2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  <c r="AA271" s="17"/>
    </row>
    <row r="272" spans="1:27" x14ac:dyDescent="0.2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  <c r="AA272" s="17"/>
    </row>
    <row r="273" spans="1:27" x14ac:dyDescent="0.2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  <c r="AA273" s="17"/>
    </row>
    <row r="274" spans="1:27" x14ac:dyDescent="0.2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  <c r="AA274" s="17"/>
    </row>
    <row r="275" spans="1:27" x14ac:dyDescent="0.2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  <c r="AA275" s="17"/>
    </row>
    <row r="276" spans="1:27" x14ac:dyDescent="0.2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  <c r="AA276" s="17"/>
    </row>
    <row r="277" spans="1:27" x14ac:dyDescent="0.2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  <c r="AA277" s="17"/>
    </row>
    <row r="278" spans="1:27" x14ac:dyDescent="0.2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  <c r="AA278" s="17"/>
    </row>
    <row r="279" spans="1:27" x14ac:dyDescent="0.2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  <c r="AA279" s="17"/>
    </row>
    <row r="280" spans="1:27" x14ac:dyDescent="0.2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  <c r="AA280" s="17"/>
    </row>
    <row r="281" spans="1:27" x14ac:dyDescent="0.2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  <c r="AA281" s="17"/>
    </row>
    <row r="282" spans="1:27" x14ac:dyDescent="0.2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  <c r="AA282" s="17"/>
    </row>
    <row r="283" spans="1:27" x14ac:dyDescent="0.2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  <c r="AA283" s="17"/>
    </row>
    <row r="284" spans="1:27" x14ac:dyDescent="0.2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  <c r="AA284" s="17"/>
    </row>
    <row r="285" spans="1:27" x14ac:dyDescent="0.2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  <c r="AA285" s="17"/>
    </row>
    <row r="286" spans="1:27" x14ac:dyDescent="0.2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  <c r="AA286" s="17"/>
    </row>
    <row r="287" spans="1:27" x14ac:dyDescent="0.2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  <c r="AA287" s="17"/>
    </row>
    <row r="288" spans="1:27" x14ac:dyDescent="0.2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  <c r="AA288" s="17"/>
    </row>
    <row r="289" spans="1:27" x14ac:dyDescent="0.2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  <c r="AA289" s="17"/>
    </row>
    <row r="290" spans="1:27" x14ac:dyDescent="0.2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  <c r="AA290" s="17"/>
    </row>
    <row r="291" spans="1:27" x14ac:dyDescent="0.2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  <c r="AA291" s="17"/>
    </row>
    <row r="292" spans="1:27" x14ac:dyDescent="0.2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  <c r="AA292" s="17"/>
    </row>
    <row r="293" spans="1:27" x14ac:dyDescent="0.2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  <c r="AA293" s="17"/>
    </row>
    <row r="294" spans="1:27" x14ac:dyDescent="0.2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  <c r="AA294" s="17"/>
    </row>
    <row r="295" spans="1:27" x14ac:dyDescent="0.2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  <c r="AA295" s="17"/>
    </row>
    <row r="296" spans="1:27" x14ac:dyDescent="0.2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  <c r="AA296" s="17"/>
    </row>
    <row r="297" spans="1:27" x14ac:dyDescent="0.2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  <c r="AA297" s="17"/>
    </row>
    <row r="298" spans="1:27" x14ac:dyDescent="0.2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  <c r="AA298" s="17"/>
    </row>
    <row r="299" spans="1:27" x14ac:dyDescent="0.2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  <c r="AA299" s="17"/>
    </row>
    <row r="300" spans="1:27" x14ac:dyDescent="0.2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  <c r="AA300" s="17"/>
    </row>
    <row r="301" spans="1:27" x14ac:dyDescent="0.2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  <c r="AA301" s="17"/>
    </row>
    <row r="302" spans="1:27" x14ac:dyDescent="0.2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  <c r="AA302" s="17"/>
    </row>
    <row r="303" spans="1:27" x14ac:dyDescent="0.2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  <c r="AA303" s="17"/>
    </row>
    <row r="304" spans="1:27" x14ac:dyDescent="0.2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  <c r="AA304" s="17"/>
    </row>
    <row r="305" spans="1:27" x14ac:dyDescent="0.2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  <c r="AA305" s="17"/>
    </row>
    <row r="306" spans="1:27" x14ac:dyDescent="0.2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  <c r="AA306" s="17"/>
    </row>
    <row r="307" spans="1:27" x14ac:dyDescent="0.2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  <c r="AA307" s="17"/>
    </row>
    <row r="308" spans="1:27" x14ac:dyDescent="0.2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  <c r="AA308" s="17"/>
    </row>
    <row r="309" spans="1:27" x14ac:dyDescent="0.2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  <c r="AA309" s="17"/>
    </row>
    <row r="310" spans="1:27" x14ac:dyDescent="0.2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  <c r="AA310" s="17"/>
    </row>
    <row r="311" spans="1:27" x14ac:dyDescent="0.2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  <c r="AA311" s="17"/>
    </row>
    <row r="312" spans="1:27" x14ac:dyDescent="0.2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  <c r="AA312" s="17"/>
    </row>
    <row r="313" spans="1:27" x14ac:dyDescent="0.2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  <c r="AA313" s="17"/>
    </row>
    <row r="314" spans="1:27" x14ac:dyDescent="0.2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  <c r="AA314" s="17"/>
    </row>
    <row r="315" spans="1:27" x14ac:dyDescent="0.2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  <c r="AA315" s="17"/>
    </row>
    <row r="316" spans="1:27" x14ac:dyDescent="0.2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  <c r="AA316" s="17"/>
    </row>
    <row r="317" spans="1:27" x14ac:dyDescent="0.2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  <c r="AA317" s="17"/>
    </row>
    <row r="318" spans="1:27" x14ac:dyDescent="0.2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  <c r="AA318" s="17"/>
    </row>
    <row r="319" spans="1:27" x14ac:dyDescent="0.2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  <c r="AA319" s="17"/>
    </row>
    <row r="320" spans="1:27" x14ac:dyDescent="0.2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  <c r="AA320" s="17"/>
    </row>
    <row r="321" spans="1:27" x14ac:dyDescent="0.2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  <c r="AA321" s="17"/>
    </row>
    <row r="322" spans="1:27" x14ac:dyDescent="0.2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  <c r="AA322" s="17"/>
    </row>
    <row r="323" spans="1:27" x14ac:dyDescent="0.2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  <c r="AA323" s="17"/>
    </row>
    <row r="324" spans="1:27" x14ac:dyDescent="0.2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  <c r="AA324" s="17"/>
    </row>
    <row r="325" spans="1:27" x14ac:dyDescent="0.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  <c r="AA325" s="17"/>
    </row>
    <row r="326" spans="1:27" x14ac:dyDescent="0.2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  <c r="AA326" s="17"/>
    </row>
    <row r="327" spans="1:27" x14ac:dyDescent="0.2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  <c r="AA327" s="17"/>
    </row>
    <row r="328" spans="1:27" x14ac:dyDescent="0.2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  <c r="AA328" s="17"/>
    </row>
    <row r="329" spans="1:27" x14ac:dyDescent="0.2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  <c r="AA329" s="17"/>
    </row>
    <row r="330" spans="1:27" x14ac:dyDescent="0.2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  <c r="AA330" s="17"/>
    </row>
    <row r="331" spans="1:27" x14ac:dyDescent="0.2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  <c r="AA331" s="17"/>
    </row>
    <row r="332" spans="1:27" x14ac:dyDescent="0.2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  <c r="AA332" s="17"/>
    </row>
    <row r="333" spans="1:27" x14ac:dyDescent="0.2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  <c r="AA333" s="17"/>
    </row>
    <row r="334" spans="1:27" x14ac:dyDescent="0.2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  <c r="AA334" s="17"/>
    </row>
    <row r="335" spans="1:27" x14ac:dyDescent="0.2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  <c r="AA335" s="17"/>
    </row>
    <row r="336" spans="1:27" x14ac:dyDescent="0.2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  <c r="AA336" s="17"/>
    </row>
    <row r="337" spans="1:27" x14ac:dyDescent="0.2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  <c r="AA337" s="17"/>
    </row>
    <row r="338" spans="1:27" x14ac:dyDescent="0.2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  <c r="AA338" s="17"/>
    </row>
    <row r="339" spans="1:27" x14ac:dyDescent="0.2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  <c r="AA339" s="17"/>
    </row>
    <row r="340" spans="1:27" x14ac:dyDescent="0.2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  <c r="AA340" s="17"/>
    </row>
    <row r="341" spans="1:27" x14ac:dyDescent="0.2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  <c r="AA341" s="17"/>
    </row>
    <row r="342" spans="1:27" x14ac:dyDescent="0.2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  <c r="AA342" s="17"/>
    </row>
    <row r="343" spans="1:27" x14ac:dyDescent="0.2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  <c r="AA343" s="17"/>
    </row>
    <row r="344" spans="1:27" x14ac:dyDescent="0.2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  <c r="AA344" s="17"/>
    </row>
    <row r="345" spans="1:27" x14ac:dyDescent="0.2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  <c r="AA345" s="17"/>
    </row>
    <row r="346" spans="1:27" x14ac:dyDescent="0.2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  <c r="AA346" s="17"/>
    </row>
    <row r="347" spans="1:27" x14ac:dyDescent="0.2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  <c r="AA347" s="17"/>
    </row>
    <row r="348" spans="1:27" x14ac:dyDescent="0.2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  <c r="AA348" s="17"/>
    </row>
    <row r="349" spans="1:27" x14ac:dyDescent="0.2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  <c r="AA349" s="17"/>
    </row>
    <row r="350" spans="1:27" x14ac:dyDescent="0.2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  <c r="AA350" s="17"/>
    </row>
    <row r="351" spans="1:27" x14ac:dyDescent="0.2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7"/>
    </row>
    <row r="352" spans="1:27" x14ac:dyDescent="0.2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  <c r="AA352" s="17"/>
    </row>
    <row r="353" spans="1:27" x14ac:dyDescent="0.2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7"/>
    </row>
    <row r="354" spans="1:27" x14ac:dyDescent="0.2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  <c r="AA354" s="17"/>
    </row>
    <row r="355" spans="1:27" x14ac:dyDescent="0.2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  <c r="AA355" s="17"/>
    </row>
    <row r="356" spans="1:27" x14ac:dyDescent="0.2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  <c r="AA356" s="17"/>
    </row>
    <row r="357" spans="1:27" x14ac:dyDescent="0.2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  <c r="AA357" s="17"/>
    </row>
    <row r="358" spans="1:27" x14ac:dyDescent="0.2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  <c r="AA358" s="17"/>
    </row>
    <row r="359" spans="1:27" x14ac:dyDescent="0.2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  <c r="AA359" s="17"/>
    </row>
    <row r="360" spans="1:27" x14ac:dyDescent="0.2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  <c r="AA360" s="17"/>
    </row>
    <row r="361" spans="1:27" x14ac:dyDescent="0.2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  <c r="AA361" s="17"/>
    </row>
    <row r="362" spans="1:27" x14ac:dyDescent="0.2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  <c r="AA362" s="17"/>
    </row>
    <row r="363" spans="1:27" x14ac:dyDescent="0.2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  <c r="AA363" s="17"/>
    </row>
    <row r="364" spans="1:27" x14ac:dyDescent="0.2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  <c r="AA364" s="17"/>
    </row>
    <row r="365" spans="1:27" x14ac:dyDescent="0.2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  <c r="AA365" s="17"/>
    </row>
    <row r="366" spans="1:27" x14ac:dyDescent="0.2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  <c r="AA366" s="17"/>
    </row>
    <row r="367" spans="1:27" x14ac:dyDescent="0.2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  <c r="AA367" s="17"/>
    </row>
    <row r="368" spans="1:27" x14ac:dyDescent="0.2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  <c r="AA368" s="17"/>
    </row>
    <row r="369" spans="1:27" x14ac:dyDescent="0.2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  <c r="AA369" s="17"/>
    </row>
    <row r="370" spans="1:27" x14ac:dyDescent="0.2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  <c r="AA370" s="17"/>
    </row>
    <row r="371" spans="1:27" x14ac:dyDescent="0.2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  <c r="AA371" s="17"/>
    </row>
    <row r="372" spans="1:27" x14ac:dyDescent="0.2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  <c r="AA372" s="17"/>
    </row>
    <row r="373" spans="1:27" x14ac:dyDescent="0.2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  <c r="AA373" s="17"/>
    </row>
    <row r="374" spans="1:27" x14ac:dyDescent="0.2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  <c r="AA374" s="17"/>
    </row>
    <row r="375" spans="1:27" x14ac:dyDescent="0.2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  <c r="AA375" s="17"/>
    </row>
    <row r="376" spans="1:27" x14ac:dyDescent="0.2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  <c r="AA376" s="17"/>
    </row>
    <row r="377" spans="1:27" x14ac:dyDescent="0.2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  <c r="AA377" s="17"/>
    </row>
    <row r="378" spans="1:27" x14ac:dyDescent="0.2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  <c r="AA378" s="17"/>
    </row>
    <row r="379" spans="1:27" x14ac:dyDescent="0.2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  <c r="AA379" s="17"/>
    </row>
    <row r="380" spans="1:27" x14ac:dyDescent="0.2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  <c r="AA380" s="17"/>
    </row>
    <row r="381" spans="1:27" x14ac:dyDescent="0.2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  <c r="AA381" s="17"/>
    </row>
    <row r="382" spans="1:27" x14ac:dyDescent="0.2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  <c r="AA382" s="17"/>
    </row>
    <row r="383" spans="1:27" x14ac:dyDescent="0.2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  <c r="AA383" s="17"/>
    </row>
    <row r="384" spans="1:27" x14ac:dyDescent="0.2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  <c r="AA384" s="17"/>
    </row>
    <row r="385" spans="1:27" x14ac:dyDescent="0.2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  <c r="AA385" s="17"/>
    </row>
    <row r="386" spans="1:27" x14ac:dyDescent="0.2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  <c r="AA386" s="17"/>
    </row>
    <row r="387" spans="1:27" x14ac:dyDescent="0.2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  <c r="AA387" s="17"/>
    </row>
    <row r="388" spans="1:27" x14ac:dyDescent="0.2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  <c r="AA388" s="17"/>
    </row>
    <row r="389" spans="1:27" x14ac:dyDescent="0.2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  <c r="AA389" s="17"/>
    </row>
    <row r="390" spans="1:27" x14ac:dyDescent="0.2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  <c r="AA390" s="17"/>
    </row>
    <row r="391" spans="1:27" x14ac:dyDescent="0.2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  <c r="AA391" s="17"/>
    </row>
    <row r="392" spans="1:27" x14ac:dyDescent="0.2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  <c r="AA392" s="17"/>
    </row>
    <row r="393" spans="1:27" x14ac:dyDescent="0.2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7"/>
    </row>
    <row r="394" spans="1:27" x14ac:dyDescent="0.2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7"/>
    </row>
    <row r="395" spans="1:27" x14ac:dyDescent="0.2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7"/>
    </row>
    <row r="396" spans="1:27" x14ac:dyDescent="0.2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7"/>
    </row>
    <row r="397" spans="1:27" x14ac:dyDescent="0.2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7"/>
    </row>
    <row r="398" spans="1:27" x14ac:dyDescent="0.2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7"/>
    </row>
    <row r="399" spans="1:27" x14ac:dyDescent="0.2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7"/>
    </row>
    <row r="400" spans="1:27" x14ac:dyDescent="0.2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7"/>
    </row>
    <row r="401" spans="1:27" x14ac:dyDescent="0.2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7"/>
    </row>
    <row r="402" spans="1:27" x14ac:dyDescent="0.2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7"/>
    </row>
    <row r="403" spans="1:27" x14ac:dyDescent="0.2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7"/>
    </row>
    <row r="404" spans="1:27" x14ac:dyDescent="0.2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7"/>
    </row>
    <row r="405" spans="1:27" x14ac:dyDescent="0.2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7"/>
    </row>
    <row r="406" spans="1:27" x14ac:dyDescent="0.2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7"/>
    </row>
    <row r="407" spans="1:27" x14ac:dyDescent="0.2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7"/>
    </row>
    <row r="408" spans="1:27" x14ac:dyDescent="0.2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7"/>
    </row>
    <row r="409" spans="1:27" x14ac:dyDescent="0.2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7"/>
    </row>
    <row r="410" spans="1:27" x14ac:dyDescent="0.2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7"/>
    </row>
    <row r="411" spans="1:27" x14ac:dyDescent="0.2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7"/>
    </row>
    <row r="412" spans="1:27" x14ac:dyDescent="0.2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7"/>
    </row>
    <row r="413" spans="1:27" x14ac:dyDescent="0.2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7"/>
    </row>
    <row r="414" spans="1:27" x14ac:dyDescent="0.2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7"/>
    </row>
    <row r="415" spans="1:27" x14ac:dyDescent="0.2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7"/>
    </row>
    <row r="416" spans="1:27" x14ac:dyDescent="0.2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7"/>
    </row>
    <row r="417" spans="1:27" x14ac:dyDescent="0.2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7"/>
    </row>
    <row r="418" spans="1:27" x14ac:dyDescent="0.2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7"/>
    </row>
    <row r="419" spans="1:27" x14ac:dyDescent="0.2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7"/>
    </row>
    <row r="420" spans="1:27" x14ac:dyDescent="0.2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7"/>
    </row>
    <row r="421" spans="1:27" x14ac:dyDescent="0.2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7"/>
    </row>
    <row r="422" spans="1:27" x14ac:dyDescent="0.2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7"/>
    </row>
    <row r="423" spans="1:27" x14ac:dyDescent="0.2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7"/>
    </row>
    <row r="424" spans="1:27" x14ac:dyDescent="0.2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7"/>
    </row>
    <row r="425" spans="1:27" x14ac:dyDescent="0.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7"/>
    </row>
    <row r="426" spans="1:27" x14ac:dyDescent="0.2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7"/>
    </row>
    <row r="427" spans="1:27" x14ac:dyDescent="0.2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7"/>
    </row>
    <row r="428" spans="1:27" x14ac:dyDescent="0.2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7"/>
    </row>
    <row r="429" spans="1:27" x14ac:dyDescent="0.2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7"/>
    </row>
    <row r="430" spans="1:27" x14ac:dyDescent="0.2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7"/>
    </row>
    <row r="431" spans="1:27" x14ac:dyDescent="0.2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7"/>
    </row>
    <row r="432" spans="1:27" x14ac:dyDescent="0.2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7"/>
    </row>
    <row r="433" spans="1:27" x14ac:dyDescent="0.2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7"/>
    </row>
    <row r="434" spans="1:27" x14ac:dyDescent="0.2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7"/>
    </row>
    <row r="435" spans="1:27" x14ac:dyDescent="0.2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7"/>
    </row>
    <row r="436" spans="1:27" x14ac:dyDescent="0.2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7"/>
    </row>
    <row r="437" spans="1:27" x14ac:dyDescent="0.2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7"/>
    </row>
    <row r="438" spans="1:27" x14ac:dyDescent="0.2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7"/>
    </row>
    <row r="439" spans="1:27" x14ac:dyDescent="0.2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7"/>
    </row>
    <row r="440" spans="1:27" x14ac:dyDescent="0.2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7"/>
    </row>
    <row r="441" spans="1:27" x14ac:dyDescent="0.2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7"/>
    </row>
    <row r="442" spans="1:27" x14ac:dyDescent="0.2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7"/>
    </row>
    <row r="443" spans="1:27" x14ac:dyDescent="0.2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7"/>
    </row>
    <row r="444" spans="1:27" x14ac:dyDescent="0.2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7"/>
    </row>
    <row r="445" spans="1:27" x14ac:dyDescent="0.2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7"/>
    </row>
    <row r="446" spans="1:27" x14ac:dyDescent="0.2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7"/>
    </row>
    <row r="447" spans="1:27" x14ac:dyDescent="0.2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7"/>
    </row>
    <row r="448" spans="1:27" x14ac:dyDescent="0.2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7"/>
    </row>
    <row r="449" spans="1:27" x14ac:dyDescent="0.2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7"/>
    </row>
    <row r="450" spans="1:27" x14ac:dyDescent="0.2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7"/>
    </row>
    <row r="451" spans="1:27" x14ac:dyDescent="0.2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7"/>
    </row>
    <row r="452" spans="1:27" x14ac:dyDescent="0.2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7"/>
    </row>
    <row r="453" spans="1:27" x14ac:dyDescent="0.2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7"/>
    </row>
    <row r="454" spans="1:27" x14ac:dyDescent="0.2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7"/>
    </row>
    <row r="455" spans="1:27" x14ac:dyDescent="0.2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7"/>
    </row>
    <row r="456" spans="1:27" x14ac:dyDescent="0.2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7"/>
    </row>
    <row r="457" spans="1:27" x14ac:dyDescent="0.2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7"/>
    </row>
    <row r="458" spans="1:27" x14ac:dyDescent="0.2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7"/>
    </row>
    <row r="459" spans="1:27" x14ac:dyDescent="0.2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7"/>
    </row>
    <row r="460" spans="1:27" x14ac:dyDescent="0.2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7"/>
    </row>
    <row r="461" spans="1:27" x14ac:dyDescent="0.2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7"/>
    </row>
    <row r="462" spans="1:27" x14ac:dyDescent="0.2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7"/>
    </row>
    <row r="463" spans="1:27" x14ac:dyDescent="0.2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7"/>
    </row>
    <row r="464" spans="1:27" x14ac:dyDescent="0.2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7"/>
    </row>
    <row r="465" spans="1:27" x14ac:dyDescent="0.2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7"/>
    </row>
    <row r="466" spans="1:27" x14ac:dyDescent="0.2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7"/>
    </row>
    <row r="467" spans="1:27" x14ac:dyDescent="0.2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7"/>
    </row>
    <row r="468" spans="1:27" x14ac:dyDescent="0.2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7"/>
    </row>
    <row r="469" spans="1:27" x14ac:dyDescent="0.2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7"/>
    </row>
    <row r="470" spans="1:27" x14ac:dyDescent="0.2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7"/>
    </row>
    <row r="471" spans="1:27" x14ac:dyDescent="0.2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7"/>
    </row>
    <row r="472" spans="1:27" x14ac:dyDescent="0.2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7"/>
    </row>
    <row r="473" spans="1:27" x14ac:dyDescent="0.2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7"/>
    </row>
    <row r="474" spans="1:27" x14ac:dyDescent="0.2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7"/>
    </row>
    <row r="475" spans="1:27" x14ac:dyDescent="0.2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7"/>
    </row>
    <row r="476" spans="1:27" x14ac:dyDescent="0.2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7"/>
    </row>
    <row r="477" spans="1:27" x14ac:dyDescent="0.2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7"/>
    </row>
    <row r="478" spans="1:27" x14ac:dyDescent="0.2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7"/>
    </row>
    <row r="479" spans="1:27" x14ac:dyDescent="0.2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7"/>
    </row>
    <row r="480" spans="1:27" x14ac:dyDescent="0.2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7"/>
    </row>
    <row r="481" spans="1:27" x14ac:dyDescent="0.2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7"/>
    </row>
    <row r="482" spans="1:27" x14ac:dyDescent="0.2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7"/>
    </row>
    <row r="483" spans="1:27" x14ac:dyDescent="0.2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7"/>
    </row>
    <row r="484" spans="1:27" x14ac:dyDescent="0.2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7"/>
    </row>
    <row r="485" spans="1:27" x14ac:dyDescent="0.2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7"/>
    </row>
    <row r="486" spans="1:27" x14ac:dyDescent="0.2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7"/>
    </row>
    <row r="487" spans="1:27" x14ac:dyDescent="0.2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7"/>
    </row>
    <row r="488" spans="1:27" x14ac:dyDescent="0.2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7"/>
    </row>
    <row r="489" spans="1:27" x14ac:dyDescent="0.2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7"/>
    </row>
    <row r="490" spans="1:27" x14ac:dyDescent="0.2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7"/>
    </row>
    <row r="491" spans="1:27" x14ac:dyDescent="0.2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7"/>
    </row>
    <row r="492" spans="1:27" x14ac:dyDescent="0.2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7"/>
    </row>
    <row r="493" spans="1:27" x14ac:dyDescent="0.2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7"/>
    </row>
    <row r="494" spans="1:27" x14ac:dyDescent="0.2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7"/>
    </row>
    <row r="495" spans="1:27" x14ac:dyDescent="0.2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7"/>
    </row>
    <row r="496" spans="1:27" x14ac:dyDescent="0.2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7"/>
    </row>
    <row r="497" spans="1:27" x14ac:dyDescent="0.2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7"/>
    </row>
    <row r="498" spans="1:27" x14ac:dyDescent="0.2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7"/>
    </row>
    <row r="499" spans="1:27" x14ac:dyDescent="0.2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7"/>
    </row>
    <row r="500" spans="1:27" x14ac:dyDescent="0.2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7"/>
    </row>
    <row r="501" spans="1:27" x14ac:dyDescent="0.2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7"/>
    </row>
    <row r="502" spans="1:27" x14ac:dyDescent="0.2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7"/>
    </row>
    <row r="503" spans="1:27" x14ac:dyDescent="0.2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7"/>
    </row>
    <row r="504" spans="1:27" x14ac:dyDescent="0.2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7"/>
    </row>
    <row r="505" spans="1:27" x14ac:dyDescent="0.2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7"/>
    </row>
    <row r="506" spans="1:27" x14ac:dyDescent="0.2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7"/>
    </row>
    <row r="507" spans="1:27" x14ac:dyDescent="0.2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7"/>
    </row>
    <row r="508" spans="1:27" x14ac:dyDescent="0.2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7"/>
    </row>
    <row r="509" spans="1:27" x14ac:dyDescent="0.2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7"/>
    </row>
    <row r="510" spans="1:27" x14ac:dyDescent="0.2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7"/>
    </row>
    <row r="511" spans="1:27" x14ac:dyDescent="0.2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7"/>
    </row>
    <row r="512" spans="1:27" x14ac:dyDescent="0.2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7"/>
    </row>
    <row r="513" spans="1:27" x14ac:dyDescent="0.2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7"/>
    </row>
    <row r="514" spans="1:27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7"/>
    </row>
    <row r="515" spans="1:27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7"/>
    </row>
    <row r="516" spans="1:27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7"/>
    </row>
    <row r="517" spans="1:27" x14ac:dyDescent="0.2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7"/>
    </row>
    <row r="518" spans="1:27" x14ac:dyDescent="0.2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7"/>
    </row>
    <row r="519" spans="1:27" x14ac:dyDescent="0.2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7"/>
    </row>
    <row r="520" spans="1:27" x14ac:dyDescent="0.2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7"/>
    </row>
    <row r="521" spans="1:27" x14ac:dyDescent="0.2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7"/>
    </row>
    <row r="522" spans="1:27" x14ac:dyDescent="0.2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7"/>
    </row>
    <row r="523" spans="1:27" x14ac:dyDescent="0.2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7"/>
    </row>
    <row r="524" spans="1:27" x14ac:dyDescent="0.2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7"/>
    </row>
    <row r="525" spans="1:27" x14ac:dyDescent="0.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7"/>
    </row>
    <row r="526" spans="1:27" x14ac:dyDescent="0.2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7"/>
    </row>
    <row r="527" spans="1:27" x14ac:dyDescent="0.2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7"/>
    </row>
    <row r="528" spans="1:27" x14ac:dyDescent="0.2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7"/>
    </row>
    <row r="529" spans="1:27" x14ac:dyDescent="0.2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7"/>
    </row>
    <row r="530" spans="1:27" x14ac:dyDescent="0.2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7"/>
    </row>
    <row r="531" spans="1:27" x14ac:dyDescent="0.2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7"/>
    </row>
    <row r="532" spans="1:27" x14ac:dyDescent="0.2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7"/>
    </row>
    <row r="533" spans="1:27" x14ac:dyDescent="0.2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7"/>
    </row>
    <row r="534" spans="1:27" x14ac:dyDescent="0.2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7"/>
    </row>
    <row r="535" spans="1:27" x14ac:dyDescent="0.2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7"/>
    </row>
    <row r="536" spans="1:27" x14ac:dyDescent="0.2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7"/>
    </row>
    <row r="537" spans="1:27" x14ac:dyDescent="0.2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7"/>
    </row>
    <row r="538" spans="1:27" x14ac:dyDescent="0.2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7"/>
    </row>
    <row r="539" spans="1:27" x14ac:dyDescent="0.2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7"/>
    </row>
    <row r="540" spans="1:27" x14ac:dyDescent="0.2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7"/>
    </row>
    <row r="541" spans="1:27" x14ac:dyDescent="0.2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7"/>
    </row>
    <row r="542" spans="1:27" x14ac:dyDescent="0.2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7"/>
    </row>
    <row r="543" spans="1:27" x14ac:dyDescent="0.2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7"/>
    </row>
    <row r="544" spans="1:27" x14ac:dyDescent="0.2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7"/>
    </row>
    <row r="545" spans="1:27" x14ac:dyDescent="0.2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7"/>
    </row>
    <row r="546" spans="1:27" x14ac:dyDescent="0.2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7"/>
    </row>
    <row r="547" spans="1:27" x14ac:dyDescent="0.2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7"/>
    </row>
    <row r="548" spans="1:27" x14ac:dyDescent="0.2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7"/>
    </row>
    <row r="549" spans="1:27" x14ac:dyDescent="0.2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7"/>
    </row>
    <row r="550" spans="1:27" x14ac:dyDescent="0.2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7"/>
    </row>
    <row r="551" spans="1:27" x14ac:dyDescent="0.2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7"/>
    </row>
    <row r="552" spans="1:27" x14ac:dyDescent="0.2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7"/>
    </row>
    <row r="553" spans="1:27" x14ac:dyDescent="0.2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7"/>
    </row>
    <row r="554" spans="1:27" x14ac:dyDescent="0.2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7"/>
    </row>
    <row r="555" spans="1:27" x14ac:dyDescent="0.2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7"/>
    </row>
    <row r="556" spans="1:27" x14ac:dyDescent="0.2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7"/>
    </row>
    <row r="557" spans="1:27" x14ac:dyDescent="0.2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7"/>
    </row>
    <row r="558" spans="1:27" x14ac:dyDescent="0.2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7"/>
    </row>
    <row r="559" spans="1:27" x14ac:dyDescent="0.2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7"/>
    </row>
    <row r="560" spans="1:27" x14ac:dyDescent="0.2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7"/>
    </row>
    <row r="561" spans="1:27" x14ac:dyDescent="0.2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7"/>
    </row>
    <row r="562" spans="1:27" x14ac:dyDescent="0.2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7"/>
    </row>
    <row r="563" spans="1:27" x14ac:dyDescent="0.2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7"/>
    </row>
    <row r="564" spans="1:27" x14ac:dyDescent="0.2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7"/>
    </row>
    <row r="565" spans="1:27" x14ac:dyDescent="0.2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7"/>
    </row>
    <row r="566" spans="1:27" x14ac:dyDescent="0.2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7"/>
    </row>
    <row r="567" spans="1:27" x14ac:dyDescent="0.2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7"/>
    </row>
    <row r="568" spans="1:27" x14ac:dyDescent="0.2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7"/>
    </row>
    <row r="569" spans="1:27" x14ac:dyDescent="0.2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7"/>
    </row>
    <row r="570" spans="1:27" x14ac:dyDescent="0.2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7"/>
    </row>
    <row r="571" spans="1:27" x14ac:dyDescent="0.2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7"/>
    </row>
    <row r="572" spans="1:27" x14ac:dyDescent="0.2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7"/>
    </row>
    <row r="573" spans="1:27" x14ac:dyDescent="0.2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7"/>
    </row>
    <row r="574" spans="1:27" x14ac:dyDescent="0.2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7"/>
    </row>
    <row r="575" spans="1:27" x14ac:dyDescent="0.2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7"/>
    </row>
    <row r="576" spans="1:27" x14ac:dyDescent="0.2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7"/>
    </row>
    <row r="577" spans="1:27" x14ac:dyDescent="0.2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7"/>
    </row>
    <row r="578" spans="1:27" x14ac:dyDescent="0.2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7"/>
    </row>
    <row r="579" spans="1:27" x14ac:dyDescent="0.2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7"/>
    </row>
    <row r="580" spans="1:27" x14ac:dyDescent="0.2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7"/>
    </row>
    <row r="581" spans="1:27" x14ac:dyDescent="0.2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7"/>
    </row>
    <row r="582" spans="1:27" x14ac:dyDescent="0.2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7"/>
    </row>
    <row r="583" spans="1:27" x14ac:dyDescent="0.2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7"/>
    </row>
    <row r="584" spans="1:27" x14ac:dyDescent="0.2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7"/>
    </row>
    <row r="585" spans="1:27" x14ac:dyDescent="0.2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7"/>
    </row>
    <row r="586" spans="1:27" x14ac:dyDescent="0.2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7"/>
    </row>
    <row r="587" spans="1:27" x14ac:dyDescent="0.2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7"/>
    </row>
    <row r="588" spans="1:27" x14ac:dyDescent="0.2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7"/>
    </row>
    <row r="589" spans="1:27" x14ac:dyDescent="0.2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7"/>
    </row>
    <row r="590" spans="1:27" x14ac:dyDescent="0.2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7"/>
    </row>
    <row r="591" spans="1:27" x14ac:dyDescent="0.2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7"/>
    </row>
    <row r="592" spans="1:27" x14ac:dyDescent="0.2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7"/>
    </row>
    <row r="593" spans="1:27" x14ac:dyDescent="0.2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7"/>
    </row>
    <row r="594" spans="1:27" x14ac:dyDescent="0.2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7"/>
    </row>
    <row r="595" spans="1:27" x14ac:dyDescent="0.2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7"/>
    </row>
    <row r="596" spans="1:27" x14ac:dyDescent="0.2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7"/>
    </row>
    <row r="597" spans="1:27" x14ac:dyDescent="0.2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7"/>
    </row>
    <row r="598" spans="1:27" x14ac:dyDescent="0.2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7"/>
    </row>
    <row r="599" spans="1:27" x14ac:dyDescent="0.2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7"/>
    </row>
    <row r="600" spans="1:27" x14ac:dyDescent="0.2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7"/>
    </row>
    <row r="601" spans="1:27" x14ac:dyDescent="0.2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7"/>
    </row>
    <row r="602" spans="1:27" x14ac:dyDescent="0.2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7"/>
    </row>
    <row r="603" spans="1:27" x14ac:dyDescent="0.2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7"/>
    </row>
    <row r="604" spans="1:27" x14ac:dyDescent="0.2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7"/>
    </row>
    <row r="605" spans="1:27" x14ac:dyDescent="0.2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7"/>
    </row>
    <row r="606" spans="1:27" x14ac:dyDescent="0.2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7"/>
    </row>
    <row r="607" spans="1:27" x14ac:dyDescent="0.2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7"/>
    </row>
    <row r="608" spans="1:27" x14ac:dyDescent="0.2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7"/>
    </row>
    <row r="609" spans="1:27" x14ac:dyDescent="0.2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7"/>
    </row>
    <row r="610" spans="1:27" x14ac:dyDescent="0.2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7"/>
    </row>
    <row r="611" spans="1:27" x14ac:dyDescent="0.2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7"/>
    </row>
    <row r="612" spans="1:27" x14ac:dyDescent="0.2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7"/>
    </row>
    <row r="613" spans="1:27" x14ac:dyDescent="0.2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7"/>
    </row>
    <row r="614" spans="1:27" x14ac:dyDescent="0.2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7"/>
    </row>
    <row r="615" spans="1:27" x14ac:dyDescent="0.2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7"/>
    </row>
    <row r="616" spans="1:27" x14ac:dyDescent="0.2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7"/>
    </row>
    <row r="617" spans="1:27" x14ac:dyDescent="0.2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7"/>
    </row>
    <row r="618" spans="1:27" x14ac:dyDescent="0.2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7"/>
    </row>
    <row r="619" spans="1:27" x14ac:dyDescent="0.2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7"/>
    </row>
    <row r="620" spans="1:27" x14ac:dyDescent="0.2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7"/>
    </row>
    <row r="621" spans="1:27" x14ac:dyDescent="0.2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7"/>
    </row>
    <row r="622" spans="1:27" x14ac:dyDescent="0.2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7"/>
    </row>
    <row r="623" spans="1:27" x14ac:dyDescent="0.2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7"/>
    </row>
    <row r="624" spans="1:27" x14ac:dyDescent="0.2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7"/>
    </row>
    <row r="625" spans="1:27" x14ac:dyDescent="0.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7"/>
    </row>
    <row r="626" spans="1:27" x14ac:dyDescent="0.2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7"/>
    </row>
    <row r="627" spans="1:27" x14ac:dyDescent="0.2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7"/>
    </row>
    <row r="628" spans="1:27" x14ac:dyDescent="0.2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7"/>
    </row>
    <row r="629" spans="1:27" x14ac:dyDescent="0.2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7"/>
    </row>
    <row r="630" spans="1:27" x14ac:dyDescent="0.2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7"/>
    </row>
    <row r="631" spans="1:27" x14ac:dyDescent="0.2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7"/>
    </row>
    <row r="632" spans="1:27" x14ac:dyDescent="0.2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7"/>
    </row>
    <row r="633" spans="1:27" x14ac:dyDescent="0.2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7"/>
    </row>
    <row r="634" spans="1:27" x14ac:dyDescent="0.2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7"/>
    </row>
    <row r="635" spans="1:27" x14ac:dyDescent="0.2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7"/>
    </row>
    <row r="636" spans="1:27" x14ac:dyDescent="0.2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7"/>
    </row>
    <row r="637" spans="1:27" x14ac:dyDescent="0.2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7"/>
    </row>
    <row r="638" spans="1:27" x14ac:dyDescent="0.2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7"/>
    </row>
    <row r="639" spans="1:27" x14ac:dyDescent="0.2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7"/>
    </row>
    <row r="640" spans="1:27" x14ac:dyDescent="0.2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7"/>
    </row>
    <row r="641" spans="1:27" x14ac:dyDescent="0.2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7"/>
    </row>
    <row r="642" spans="1:27" x14ac:dyDescent="0.2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7"/>
    </row>
    <row r="643" spans="1:27" x14ac:dyDescent="0.2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7"/>
    </row>
    <row r="644" spans="1:27" x14ac:dyDescent="0.2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7"/>
    </row>
    <row r="645" spans="1:27" x14ac:dyDescent="0.2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7"/>
    </row>
    <row r="646" spans="1:27" x14ac:dyDescent="0.2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7"/>
    </row>
    <row r="647" spans="1:27" x14ac:dyDescent="0.2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7"/>
    </row>
    <row r="648" spans="1:27" x14ac:dyDescent="0.2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7"/>
    </row>
    <row r="649" spans="1:27" x14ac:dyDescent="0.2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7"/>
    </row>
    <row r="650" spans="1:27" x14ac:dyDescent="0.2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7"/>
    </row>
    <row r="651" spans="1:27" x14ac:dyDescent="0.2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7"/>
    </row>
    <row r="652" spans="1:27" x14ac:dyDescent="0.2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7"/>
    </row>
    <row r="653" spans="1:27" x14ac:dyDescent="0.2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7"/>
    </row>
    <row r="654" spans="1:27" x14ac:dyDescent="0.2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7"/>
    </row>
    <row r="655" spans="1:27" x14ac:dyDescent="0.2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7"/>
    </row>
    <row r="656" spans="1:27" x14ac:dyDescent="0.2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7"/>
    </row>
    <row r="657" spans="1:27" x14ac:dyDescent="0.2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7"/>
    </row>
    <row r="658" spans="1:27" x14ac:dyDescent="0.2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7"/>
    </row>
    <row r="659" spans="1:27" x14ac:dyDescent="0.2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7"/>
    </row>
    <row r="660" spans="1:27" x14ac:dyDescent="0.2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7"/>
    </row>
    <row r="661" spans="1:27" x14ac:dyDescent="0.2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7"/>
    </row>
    <row r="662" spans="1:27" x14ac:dyDescent="0.2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7"/>
    </row>
    <row r="663" spans="1:27" x14ac:dyDescent="0.2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7"/>
    </row>
    <row r="664" spans="1:27" x14ac:dyDescent="0.2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7"/>
    </row>
    <row r="665" spans="1:27" x14ac:dyDescent="0.2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7"/>
    </row>
    <row r="666" spans="1:27" x14ac:dyDescent="0.2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7"/>
    </row>
    <row r="667" spans="1:27" x14ac:dyDescent="0.2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7"/>
    </row>
    <row r="668" spans="1:27" x14ac:dyDescent="0.2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7"/>
    </row>
    <row r="669" spans="1:27" x14ac:dyDescent="0.2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7"/>
    </row>
    <row r="670" spans="1:27" x14ac:dyDescent="0.2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7"/>
    </row>
    <row r="671" spans="1:27" x14ac:dyDescent="0.2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7"/>
    </row>
    <row r="672" spans="1:27" x14ac:dyDescent="0.2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7"/>
    </row>
    <row r="673" spans="1:27" x14ac:dyDescent="0.2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7"/>
    </row>
    <row r="674" spans="1:27" x14ac:dyDescent="0.2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7"/>
    </row>
    <row r="675" spans="1:27" x14ac:dyDescent="0.2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7"/>
    </row>
    <row r="676" spans="1:27" x14ac:dyDescent="0.2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7"/>
    </row>
    <row r="677" spans="1:27" x14ac:dyDescent="0.2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7"/>
    </row>
    <row r="678" spans="1:27" x14ac:dyDescent="0.2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7"/>
    </row>
    <row r="679" spans="1:27" x14ac:dyDescent="0.2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7"/>
    </row>
    <row r="680" spans="1:27" x14ac:dyDescent="0.2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7"/>
    </row>
    <row r="681" spans="1:27" x14ac:dyDescent="0.2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7"/>
    </row>
    <row r="682" spans="1:27" x14ac:dyDescent="0.2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7"/>
    </row>
    <row r="683" spans="1:27" x14ac:dyDescent="0.2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7"/>
    </row>
    <row r="684" spans="1:27" x14ac:dyDescent="0.2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7"/>
    </row>
    <row r="685" spans="1:27" x14ac:dyDescent="0.2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7"/>
    </row>
    <row r="686" spans="1:27" x14ac:dyDescent="0.2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7"/>
    </row>
    <row r="687" spans="1:27" x14ac:dyDescent="0.2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7"/>
    </row>
    <row r="688" spans="1:27" x14ac:dyDescent="0.2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7"/>
    </row>
    <row r="689" spans="1:27" x14ac:dyDescent="0.2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7"/>
    </row>
    <row r="690" spans="1:27" x14ac:dyDescent="0.2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7"/>
    </row>
    <row r="691" spans="1:27" x14ac:dyDescent="0.2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7"/>
    </row>
    <row r="692" spans="1:27" x14ac:dyDescent="0.2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7"/>
    </row>
    <row r="693" spans="1:27" x14ac:dyDescent="0.2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7"/>
    </row>
    <row r="694" spans="1:27" x14ac:dyDescent="0.2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7"/>
    </row>
    <row r="695" spans="1:27" x14ac:dyDescent="0.2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7"/>
    </row>
    <row r="696" spans="1:27" x14ac:dyDescent="0.2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7"/>
    </row>
    <row r="697" spans="1:27" x14ac:dyDescent="0.2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7"/>
    </row>
    <row r="698" spans="1:27" x14ac:dyDescent="0.2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7"/>
    </row>
    <row r="699" spans="1:27" x14ac:dyDescent="0.2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7"/>
    </row>
    <row r="700" spans="1:27" x14ac:dyDescent="0.2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7"/>
    </row>
    <row r="701" spans="1:27" x14ac:dyDescent="0.2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7"/>
    </row>
    <row r="702" spans="1:27" x14ac:dyDescent="0.2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7"/>
    </row>
    <row r="703" spans="1:27" x14ac:dyDescent="0.2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7"/>
    </row>
    <row r="704" spans="1:27" x14ac:dyDescent="0.2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7"/>
    </row>
    <row r="705" spans="1:27" x14ac:dyDescent="0.2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7"/>
    </row>
    <row r="706" spans="1:27" x14ac:dyDescent="0.2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7"/>
    </row>
    <row r="707" spans="1:27" x14ac:dyDescent="0.2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7"/>
    </row>
    <row r="708" spans="1:27" x14ac:dyDescent="0.2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7"/>
    </row>
    <row r="709" spans="1:27" x14ac:dyDescent="0.2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7"/>
    </row>
    <row r="710" spans="1:27" x14ac:dyDescent="0.2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7"/>
    </row>
    <row r="711" spans="1:27" x14ac:dyDescent="0.2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7"/>
    </row>
    <row r="712" spans="1:27" x14ac:dyDescent="0.2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7"/>
    </row>
    <row r="713" spans="1:27" x14ac:dyDescent="0.2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7"/>
    </row>
    <row r="714" spans="1:27" x14ac:dyDescent="0.2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7"/>
    </row>
    <row r="715" spans="1:27" x14ac:dyDescent="0.2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7"/>
    </row>
    <row r="716" spans="1:27" x14ac:dyDescent="0.2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7"/>
    </row>
    <row r="717" spans="1:27" x14ac:dyDescent="0.2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7"/>
    </row>
    <row r="718" spans="1:27" x14ac:dyDescent="0.2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7"/>
    </row>
    <row r="719" spans="1:27" x14ac:dyDescent="0.2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7"/>
    </row>
    <row r="720" spans="1:27" x14ac:dyDescent="0.2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7"/>
    </row>
    <row r="721" spans="1:27" x14ac:dyDescent="0.2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7"/>
    </row>
    <row r="722" spans="1:27" x14ac:dyDescent="0.2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7"/>
    </row>
    <row r="723" spans="1:27" x14ac:dyDescent="0.2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7"/>
    </row>
    <row r="724" spans="1:27" x14ac:dyDescent="0.2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7"/>
    </row>
    <row r="725" spans="1:27" x14ac:dyDescent="0.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7"/>
    </row>
    <row r="726" spans="1:27" x14ac:dyDescent="0.2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7"/>
    </row>
    <row r="727" spans="1:27" x14ac:dyDescent="0.2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7"/>
    </row>
    <row r="728" spans="1:27" x14ac:dyDescent="0.2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7"/>
    </row>
    <row r="729" spans="1:27" x14ac:dyDescent="0.2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7"/>
    </row>
    <row r="730" spans="1:27" x14ac:dyDescent="0.2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7"/>
    </row>
    <row r="731" spans="1:27" x14ac:dyDescent="0.2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7"/>
    </row>
    <row r="732" spans="1:27" x14ac:dyDescent="0.2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7"/>
    </row>
    <row r="733" spans="1:27" x14ac:dyDescent="0.2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7"/>
    </row>
    <row r="734" spans="1:27" x14ac:dyDescent="0.2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7"/>
    </row>
    <row r="735" spans="1:27" x14ac:dyDescent="0.2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7"/>
    </row>
    <row r="736" spans="1:27" x14ac:dyDescent="0.2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7"/>
    </row>
    <row r="737" spans="1:27" x14ac:dyDescent="0.2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7"/>
    </row>
    <row r="738" spans="1:27" x14ac:dyDescent="0.2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7"/>
    </row>
    <row r="739" spans="1:27" x14ac:dyDescent="0.2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7"/>
    </row>
    <row r="740" spans="1:27" x14ac:dyDescent="0.2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7"/>
    </row>
    <row r="741" spans="1:27" x14ac:dyDescent="0.2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7"/>
    </row>
    <row r="742" spans="1:27" x14ac:dyDescent="0.2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7"/>
    </row>
    <row r="743" spans="1:27" x14ac:dyDescent="0.2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7"/>
    </row>
    <row r="744" spans="1:27" x14ac:dyDescent="0.2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7"/>
    </row>
    <row r="745" spans="1:27" x14ac:dyDescent="0.2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7"/>
    </row>
    <row r="746" spans="1:27" x14ac:dyDescent="0.2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7"/>
    </row>
    <row r="747" spans="1:27" x14ac:dyDescent="0.2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7"/>
    </row>
    <row r="748" spans="1:27" x14ac:dyDescent="0.2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7"/>
    </row>
    <row r="749" spans="1:27" x14ac:dyDescent="0.2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7"/>
    </row>
    <row r="750" spans="1:27" x14ac:dyDescent="0.2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7"/>
    </row>
    <row r="751" spans="1:27" x14ac:dyDescent="0.2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7"/>
    </row>
    <row r="752" spans="1:27" x14ac:dyDescent="0.2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7"/>
    </row>
    <row r="753" spans="1:27" x14ac:dyDescent="0.2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7"/>
    </row>
    <row r="754" spans="1:27" x14ac:dyDescent="0.2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7"/>
    </row>
    <row r="755" spans="1:27" x14ac:dyDescent="0.2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7"/>
    </row>
    <row r="756" spans="1:27" x14ac:dyDescent="0.2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7"/>
    </row>
    <row r="757" spans="1:27" x14ac:dyDescent="0.2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7"/>
    </row>
    <row r="758" spans="1:27" x14ac:dyDescent="0.2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7"/>
    </row>
    <row r="759" spans="1:27" x14ac:dyDescent="0.2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7"/>
    </row>
    <row r="760" spans="1:27" x14ac:dyDescent="0.2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7"/>
    </row>
    <row r="761" spans="1:27" x14ac:dyDescent="0.2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7"/>
    </row>
    <row r="762" spans="1:27" x14ac:dyDescent="0.2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7"/>
    </row>
    <row r="763" spans="1:27" x14ac:dyDescent="0.2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7"/>
    </row>
    <row r="764" spans="1:27" x14ac:dyDescent="0.2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7"/>
    </row>
    <row r="765" spans="1:27" x14ac:dyDescent="0.2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7"/>
    </row>
    <row r="766" spans="1:27" x14ac:dyDescent="0.2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7"/>
    </row>
    <row r="767" spans="1:27" x14ac:dyDescent="0.2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7"/>
    </row>
    <row r="768" spans="1:27" x14ac:dyDescent="0.2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7"/>
    </row>
    <row r="769" spans="1:27" x14ac:dyDescent="0.2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7"/>
    </row>
    <row r="770" spans="1:27" x14ac:dyDescent="0.2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7"/>
    </row>
    <row r="771" spans="1:27" x14ac:dyDescent="0.2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7"/>
    </row>
    <row r="772" spans="1:27" x14ac:dyDescent="0.2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7"/>
    </row>
    <row r="773" spans="1:27" x14ac:dyDescent="0.2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7"/>
    </row>
    <row r="774" spans="1:27" x14ac:dyDescent="0.2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7"/>
    </row>
    <row r="775" spans="1:27" x14ac:dyDescent="0.2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7"/>
    </row>
    <row r="776" spans="1:27" x14ac:dyDescent="0.2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7"/>
    </row>
    <row r="777" spans="1:27" x14ac:dyDescent="0.2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7"/>
    </row>
    <row r="778" spans="1:27" x14ac:dyDescent="0.2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7"/>
    </row>
    <row r="779" spans="1:27" x14ac:dyDescent="0.2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7"/>
    </row>
    <row r="780" spans="1:27" x14ac:dyDescent="0.2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7"/>
    </row>
    <row r="781" spans="1:27" x14ac:dyDescent="0.2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7"/>
    </row>
    <row r="782" spans="1:27" x14ac:dyDescent="0.2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7"/>
    </row>
    <row r="783" spans="1:27" x14ac:dyDescent="0.2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7"/>
    </row>
    <row r="784" spans="1:27" x14ac:dyDescent="0.2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7"/>
    </row>
    <row r="785" spans="1:27" x14ac:dyDescent="0.2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7"/>
    </row>
    <row r="786" spans="1:27" x14ac:dyDescent="0.2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7"/>
    </row>
    <row r="787" spans="1:27" x14ac:dyDescent="0.2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7"/>
    </row>
    <row r="788" spans="1:27" x14ac:dyDescent="0.2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7"/>
    </row>
    <row r="789" spans="1:27" x14ac:dyDescent="0.2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7"/>
    </row>
    <row r="790" spans="1:27" x14ac:dyDescent="0.2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7"/>
    </row>
    <row r="791" spans="1:27" x14ac:dyDescent="0.2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7"/>
    </row>
    <row r="792" spans="1:27" x14ac:dyDescent="0.2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7"/>
    </row>
    <row r="793" spans="1:27" x14ac:dyDescent="0.2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7"/>
    </row>
    <row r="794" spans="1:27" x14ac:dyDescent="0.2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7"/>
    </row>
    <row r="795" spans="1:27" x14ac:dyDescent="0.2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7"/>
    </row>
    <row r="796" spans="1:27" x14ac:dyDescent="0.2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7"/>
    </row>
    <row r="797" spans="1:27" x14ac:dyDescent="0.2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7"/>
    </row>
    <row r="798" spans="1:27" x14ac:dyDescent="0.2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7"/>
    </row>
    <row r="799" spans="1:27" x14ac:dyDescent="0.2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7"/>
    </row>
    <row r="800" spans="1:27" x14ac:dyDescent="0.2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7"/>
    </row>
    <row r="801" spans="1:27" x14ac:dyDescent="0.2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7"/>
    </row>
    <row r="802" spans="1:27" x14ac:dyDescent="0.2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7"/>
    </row>
    <row r="803" spans="1:27" x14ac:dyDescent="0.2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7"/>
    </row>
    <row r="804" spans="1:27" x14ac:dyDescent="0.2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7"/>
    </row>
    <row r="805" spans="1:27" x14ac:dyDescent="0.2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7"/>
    </row>
    <row r="806" spans="1:27" x14ac:dyDescent="0.2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7"/>
    </row>
    <row r="807" spans="1:27" x14ac:dyDescent="0.2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7"/>
    </row>
    <row r="808" spans="1:27" x14ac:dyDescent="0.2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7"/>
    </row>
    <row r="809" spans="1:27" x14ac:dyDescent="0.2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7"/>
    </row>
    <row r="810" spans="1:27" x14ac:dyDescent="0.2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7"/>
    </row>
    <row r="811" spans="1:27" x14ac:dyDescent="0.2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7"/>
    </row>
    <row r="812" spans="1:27" x14ac:dyDescent="0.2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7"/>
    </row>
    <row r="813" spans="1:27" x14ac:dyDescent="0.2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7"/>
    </row>
    <row r="814" spans="1:27" x14ac:dyDescent="0.2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7"/>
    </row>
    <row r="815" spans="1:27" x14ac:dyDescent="0.2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7"/>
    </row>
    <row r="816" spans="1:27" x14ac:dyDescent="0.2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7"/>
    </row>
    <row r="817" spans="1:27" x14ac:dyDescent="0.2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7"/>
    </row>
    <row r="818" spans="1:27" x14ac:dyDescent="0.2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7"/>
    </row>
    <row r="819" spans="1:27" x14ac:dyDescent="0.2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7"/>
    </row>
    <row r="820" spans="1:27" x14ac:dyDescent="0.2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7"/>
    </row>
    <row r="821" spans="1:27" x14ac:dyDescent="0.2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7"/>
    </row>
    <row r="822" spans="1:27" x14ac:dyDescent="0.2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7"/>
    </row>
    <row r="823" spans="1:27" x14ac:dyDescent="0.2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7"/>
    </row>
    <row r="824" spans="1:27" x14ac:dyDescent="0.2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7"/>
    </row>
    <row r="825" spans="1:27" x14ac:dyDescent="0.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7"/>
    </row>
    <row r="826" spans="1:27" x14ac:dyDescent="0.2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7"/>
    </row>
    <row r="827" spans="1:27" x14ac:dyDescent="0.2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7"/>
    </row>
    <row r="828" spans="1:27" x14ac:dyDescent="0.2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7"/>
    </row>
    <row r="829" spans="1:27" x14ac:dyDescent="0.2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7"/>
    </row>
    <row r="830" spans="1:27" x14ac:dyDescent="0.2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7"/>
    </row>
    <row r="831" spans="1:27" x14ac:dyDescent="0.2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7"/>
    </row>
    <row r="832" spans="1:27" x14ac:dyDescent="0.2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7"/>
    </row>
    <row r="833" spans="1:27" x14ac:dyDescent="0.2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7"/>
    </row>
    <row r="834" spans="1:27" x14ac:dyDescent="0.2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7"/>
    </row>
    <row r="835" spans="1:27" x14ac:dyDescent="0.2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7"/>
    </row>
    <row r="836" spans="1:27" x14ac:dyDescent="0.2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7"/>
    </row>
    <row r="837" spans="1:27" x14ac:dyDescent="0.2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7"/>
    </row>
    <row r="838" spans="1:27" x14ac:dyDescent="0.2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7"/>
    </row>
    <row r="839" spans="1:27" x14ac:dyDescent="0.2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7"/>
    </row>
    <row r="840" spans="1:27" x14ac:dyDescent="0.2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7"/>
    </row>
    <row r="841" spans="1:27" x14ac:dyDescent="0.2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7"/>
    </row>
    <row r="842" spans="1:27" x14ac:dyDescent="0.2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7"/>
    </row>
    <row r="843" spans="1:27" x14ac:dyDescent="0.2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7"/>
    </row>
    <row r="844" spans="1:27" x14ac:dyDescent="0.2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7"/>
    </row>
    <row r="845" spans="1:27" x14ac:dyDescent="0.2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7"/>
    </row>
    <row r="846" spans="1:27" x14ac:dyDescent="0.2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7"/>
    </row>
    <row r="847" spans="1:27" x14ac:dyDescent="0.2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7"/>
    </row>
    <row r="848" spans="1:27" x14ac:dyDescent="0.2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7"/>
    </row>
    <row r="849" spans="1:27" x14ac:dyDescent="0.2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7"/>
    </row>
    <row r="850" spans="1:27" x14ac:dyDescent="0.2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7"/>
    </row>
    <row r="851" spans="1:27" x14ac:dyDescent="0.2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7"/>
    </row>
    <row r="852" spans="1:27" x14ac:dyDescent="0.2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7"/>
    </row>
    <row r="853" spans="1:27" x14ac:dyDescent="0.2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7"/>
    </row>
    <row r="854" spans="1:27" x14ac:dyDescent="0.2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7"/>
    </row>
    <row r="855" spans="1:27" x14ac:dyDescent="0.2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7"/>
    </row>
    <row r="856" spans="1:27" x14ac:dyDescent="0.2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7"/>
    </row>
    <row r="857" spans="1:27" x14ac:dyDescent="0.2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7"/>
    </row>
    <row r="858" spans="1:27" x14ac:dyDescent="0.2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7"/>
    </row>
    <row r="859" spans="1:27" x14ac:dyDescent="0.2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7"/>
    </row>
    <row r="860" spans="1:27" x14ac:dyDescent="0.2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7"/>
    </row>
    <row r="861" spans="1:27" x14ac:dyDescent="0.2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7"/>
    </row>
    <row r="862" spans="1:27" x14ac:dyDescent="0.2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7"/>
    </row>
    <row r="863" spans="1:27" x14ac:dyDescent="0.2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7"/>
    </row>
    <row r="864" spans="1:27" x14ac:dyDescent="0.2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7"/>
    </row>
    <row r="865" spans="1:27" x14ac:dyDescent="0.2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7"/>
    </row>
    <row r="866" spans="1:27" x14ac:dyDescent="0.2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7"/>
    </row>
    <row r="867" spans="1:27" x14ac:dyDescent="0.2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7"/>
    </row>
    <row r="868" spans="1:27" x14ac:dyDescent="0.2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7"/>
    </row>
    <row r="869" spans="1:27" x14ac:dyDescent="0.2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7"/>
    </row>
    <row r="870" spans="1:27" x14ac:dyDescent="0.2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7"/>
    </row>
    <row r="871" spans="1:27" x14ac:dyDescent="0.2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7"/>
    </row>
    <row r="872" spans="1:27" x14ac:dyDescent="0.2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7"/>
    </row>
    <row r="873" spans="1:27" x14ac:dyDescent="0.2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7"/>
    </row>
    <row r="874" spans="1:27" x14ac:dyDescent="0.2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7"/>
    </row>
    <row r="875" spans="1:27" x14ac:dyDescent="0.2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7"/>
    </row>
    <row r="876" spans="1:27" x14ac:dyDescent="0.2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7"/>
    </row>
    <row r="877" spans="1:27" x14ac:dyDescent="0.2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7"/>
    </row>
    <row r="878" spans="1:27" x14ac:dyDescent="0.2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7"/>
    </row>
    <row r="879" spans="1:27" x14ac:dyDescent="0.2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7"/>
    </row>
    <row r="880" spans="1:27" x14ac:dyDescent="0.2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7"/>
    </row>
    <row r="881" spans="1:27" x14ac:dyDescent="0.2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7"/>
    </row>
    <row r="882" spans="1:27" x14ac:dyDescent="0.2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7"/>
    </row>
    <row r="883" spans="1:27" x14ac:dyDescent="0.2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7"/>
    </row>
    <row r="884" spans="1:27" x14ac:dyDescent="0.2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7"/>
    </row>
    <row r="885" spans="1:27" x14ac:dyDescent="0.2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7"/>
    </row>
    <row r="886" spans="1:27" x14ac:dyDescent="0.2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7"/>
    </row>
    <row r="887" spans="1:27" x14ac:dyDescent="0.2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7"/>
    </row>
    <row r="888" spans="1:27" x14ac:dyDescent="0.2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7"/>
    </row>
    <row r="889" spans="1:27" x14ac:dyDescent="0.2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7"/>
    </row>
    <row r="890" spans="1:27" x14ac:dyDescent="0.2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7"/>
    </row>
    <row r="891" spans="1:27" x14ac:dyDescent="0.2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7"/>
    </row>
    <row r="892" spans="1:27" x14ac:dyDescent="0.2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7"/>
    </row>
    <row r="893" spans="1:27" x14ac:dyDescent="0.2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7"/>
    </row>
    <row r="894" spans="1:27" x14ac:dyDescent="0.2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7"/>
    </row>
    <row r="895" spans="1:27" x14ac:dyDescent="0.2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7"/>
    </row>
    <row r="896" spans="1:27" x14ac:dyDescent="0.2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7"/>
    </row>
    <row r="897" spans="1:27" x14ac:dyDescent="0.2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7"/>
    </row>
    <row r="898" spans="1:27" x14ac:dyDescent="0.2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7"/>
    </row>
    <row r="899" spans="1:27" x14ac:dyDescent="0.2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7"/>
    </row>
    <row r="900" spans="1:27" x14ac:dyDescent="0.2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7"/>
    </row>
    <row r="901" spans="1:27" x14ac:dyDescent="0.2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7"/>
    </row>
    <row r="902" spans="1:27" x14ac:dyDescent="0.2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7"/>
    </row>
    <row r="903" spans="1:27" x14ac:dyDescent="0.2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7"/>
    </row>
    <row r="904" spans="1:27" x14ac:dyDescent="0.2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7"/>
    </row>
    <row r="905" spans="1:27" x14ac:dyDescent="0.2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7"/>
    </row>
    <row r="906" spans="1:27" x14ac:dyDescent="0.2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7"/>
    </row>
    <row r="907" spans="1:27" x14ac:dyDescent="0.2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7"/>
    </row>
    <row r="908" spans="1:27" x14ac:dyDescent="0.2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7"/>
    </row>
    <row r="909" spans="1:27" x14ac:dyDescent="0.2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7"/>
    </row>
    <row r="910" spans="1:27" x14ac:dyDescent="0.2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7"/>
    </row>
    <row r="911" spans="1:27" x14ac:dyDescent="0.2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7"/>
    </row>
    <row r="912" spans="1:27" x14ac:dyDescent="0.2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7"/>
    </row>
    <row r="913" spans="1:27" x14ac:dyDescent="0.2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7"/>
    </row>
    <row r="914" spans="1:27" x14ac:dyDescent="0.2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7"/>
    </row>
    <row r="915" spans="1:27" x14ac:dyDescent="0.2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7"/>
    </row>
    <row r="916" spans="1:27" x14ac:dyDescent="0.2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7"/>
    </row>
    <row r="917" spans="1:27" x14ac:dyDescent="0.2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7"/>
    </row>
    <row r="918" spans="1:27" x14ac:dyDescent="0.2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7"/>
    </row>
    <row r="919" spans="1:27" x14ac:dyDescent="0.2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7"/>
    </row>
    <row r="920" spans="1:27" x14ac:dyDescent="0.2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7"/>
    </row>
    <row r="921" spans="1:27" x14ac:dyDescent="0.2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7"/>
    </row>
    <row r="922" spans="1:27" x14ac:dyDescent="0.2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7"/>
    </row>
    <row r="923" spans="1:27" x14ac:dyDescent="0.2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7"/>
    </row>
    <row r="924" spans="1:27" x14ac:dyDescent="0.2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7"/>
    </row>
    <row r="925" spans="1:27" x14ac:dyDescent="0.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7"/>
    </row>
    <row r="926" spans="1:27" x14ac:dyDescent="0.2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7"/>
    </row>
    <row r="927" spans="1:27" x14ac:dyDescent="0.2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7"/>
    </row>
    <row r="928" spans="1:27" x14ac:dyDescent="0.2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7"/>
    </row>
    <row r="929" spans="1:27" x14ac:dyDescent="0.2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7"/>
    </row>
    <row r="930" spans="1:27" x14ac:dyDescent="0.2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7"/>
    </row>
    <row r="931" spans="1:27" x14ac:dyDescent="0.2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7"/>
    </row>
    <row r="932" spans="1:27" x14ac:dyDescent="0.2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7"/>
    </row>
    <row r="933" spans="1:27" x14ac:dyDescent="0.2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7"/>
    </row>
    <row r="934" spans="1:27" x14ac:dyDescent="0.2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7"/>
    </row>
    <row r="935" spans="1:27" x14ac:dyDescent="0.2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7"/>
    </row>
    <row r="936" spans="1:27" x14ac:dyDescent="0.2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7"/>
    </row>
    <row r="937" spans="1:27" x14ac:dyDescent="0.2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7"/>
    </row>
    <row r="938" spans="1:27" x14ac:dyDescent="0.2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7"/>
    </row>
    <row r="939" spans="1:27" x14ac:dyDescent="0.2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7"/>
    </row>
    <row r="940" spans="1:27" x14ac:dyDescent="0.2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7"/>
    </row>
    <row r="941" spans="1:27" x14ac:dyDescent="0.2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7"/>
    </row>
    <row r="942" spans="1:27" x14ac:dyDescent="0.2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7"/>
    </row>
    <row r="943" spans="1:27" x14ac:dyDescent="0.2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7"/>
    </row>
    <row r="944" spans="1:27" x14ac:dyDescent="0.2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7"/>
    </row>
    <row r="945" spans="1:27" x14ac:dyDescent="0.2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7"/>
    </row>
    <row r="946" spans="1:27" x14ac:dyDescent="0.2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7"/>
    </row>
    <row r="947" spans="1:27" x14ac:dyDescent="0.2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7"/>
    </row>
    <row r="948" spans="1:27" x14ac:dyDescent="0.2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7"/>
    </row>
    <row r="949" spans="1:27" x14ac:dyDescent="0.2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7"/>
    </row>
    <row r="950" spans="1:27" x14ac:dyDescent="0.2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7"/>
    </row>
    <row r="951" spans="1:27" x14ac:dyDescent="0.2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7"/>
    </row>
    <row r="952" spans="1:27" x14ac:dyDescent="0.2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7"/>
    </row>
    <row r="953" spans="1:27" x14ac:dyDescent="0.2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7"/>
    </row>
    <row r="954" spans="1:27" x14ac:dyDescent="0.2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7"/>
    </row>
    <row r="955" spans="1:27" x14ac:dyDescent="0.2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7"/>
    </row>
    <row r="956" spans="1:27" x14ac:dyDescent="0.2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7"/>
    </row>
    <row r="957" spans="1:27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spans="1:27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spans="1:27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spans="1:27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spans="1:27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spans="1:27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spans="1:27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spans="1:27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spans="1:27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spans="1:27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spans="1:27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spans="1:27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spans="1:27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spans="1:27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spans="1:27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spans="1:27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spans="1:27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spans="1:27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spans="1:27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spans="1:27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spans="1:27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spans="1:27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spans="1:27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spans="1:27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spans="1:27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spans="1:27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spans="1:27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spans="1:27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spans="1:27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spans="1:27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spans="1:27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spans="1:27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spans="1:27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spans="1:27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spans="1:27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spans="1:27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spans="1:27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spans="1:27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</sheetData>
  <hyperlinks>
    <hyperlink ref="C34" r:id="rId1" display="http://m.sc/" xr:uid="{02AA51B7-80D9-4A8D-BE9E-2A2F3C99D9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jkb_p</cp:lastModifiedBy>
  <dcterms:created xsi:type="dcterms:W3CDTF">2026-01-19T13:28:06Z</dcterms:created>
  <dcterms:modified xsi:type="dcterms:W3CDTF">2026-07-27T04:15:23Z</dcterms:modified>
</cp:coreProperties>
</file>