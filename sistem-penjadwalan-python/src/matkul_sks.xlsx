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b_p\Downloads\"/>
    </mc:Choice>
  </mc:AlternateContent>
  <xr:revisionPtr revIDLastSave="0" documentId="13_ncr:1_{3ECCA9CD-4DB7-4C42-8F0D-635EAAC64FD2}" xr6:coauthVersionLast="47" xr6:coauthVersionMax="47" xr10:uidLastSave="{00000000-0000-0000-0000-000000000000}"/>
  <bookViews>
    <workbookView xWindow="-120" yWindow="-120" windowWidth="29040" windowHeight="15720" activeTab="2" xr2:uid="{20C8B004-8BB5-48E2-A17C-4CB5E2E767A3}"/>
  </bookViews>
  <sheets>
    <sheet name="TRM" sheetId="6" r:id="rId1"/>
    <sheet name="RKS" sheetId="8" r:id="rId2"/>
    <sheet name="TI" sheetId="9" r:id="rId3"/>
    <sheet name="TRPL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7" l="1"/>
  <c r="G30" i="7"/>
  <c r="E30" i="7"/>
  <c r="D30" i="7"/>
  <c r="H15" i="7"/>
  <c r="G15" i="7"/>
  <c r="E15" i="7"/>
  <c r="D15" i="7"/>
  <c r="I15" i="7" l="1"/>
  <c r="I30" i="7"/>
</calcChain>
</file>

<file path=xl/sharedStrings.xml><?xml version="1.0" encoding="utf-8"?>
<sst xmlns="http://schemas.openxmlformats.org/spreadsheetml/2006/main" count="562" uniqueCount="237">
  <si>
    <t>No</t>
  </si>
  <si>
    <t>Kelas</t>
  </si>
  <si>
    <t>Teori</t>
  </si>
  <si>
    <t>Pemrograman Berorientasi Objek</t>
  </si>
  <si>
    <t>Sistem Basis Data</t>
  </si>
  <si>
    <t>A,B</t>
  </si>
  <si>
    <t>SKS</t>
  </si>
  <si>
    <t>Laura Sari, S.Si., M.Sc.</t>
  </si>
  <si>
    <t>Kukuh Muhammad, M.T.</t>
  </si>
  <si>
    <t>Praktikum Pemrograman Berorientasi Objek</t>
  </si>
  <si>
    <t>Matematika Diskrit</t>
  </si>
  <si>
    <t>Kewarganegaraan</t>
  </si>
  <si>
    <t>Dosen</t>
  </si>
  <si>
    <t>Kode Matakuliah</t>
  </si>
  <si>
    <t>Nama Matakuliah</t>
  </si>
  <si>
    <t>Jam</t>
  </si>
  <si>
    <t>Prakt</t>
  </si>
  <si>
    <t>Santi Purwaningrum, S.Kom., M.Kom.</t>
  </si>
  <si>
    <t>Nur Muniroh, S.T., M.Kom.</t>
  </si>
  <si>
    <t>Nur Wachid Adi Prasetya, S.Kom., M.Kom.</t>
  </si>
  <si>
    <t>Adlan Nugroho, M.T.I</t>
  </si>
  <si>
    <t>Annisa Romadloni, S.Hum., M.A.</t>
  </si>
  <si>
    <t>Broadcasting</t>
  </si>
  <si>
    <t>Videografi</t>
  </si>
  <si>
    <t>Antonius Agung Hartono, S.T., M.Eng.</t>
  </si>
  <si>
    <t>Desain UI/UX</t>
  </si>
  <si>
    <t>Mizan Ahmad, S.Si., M.Sc.</t>
  </si>
  <si>
    <t>Kesehatan dan Keselamatan Kerja (K3)</t>
  </si>
  <si>
    <t>Lutfi Syafirullah, S.T. M.Kom.</t>
  </si>
  <si>
    <t>Joko Purwanto, S.T, M.Kom</t>
  </si>
  <si>
    <t>Semester 1 (MBKM)</t>
  </si>
  <si>
    <t>Pengantar Teknologi Informasi</t>
  </si>
  <si>
    <t>Pengantar Multimedia</t>
  </si>
  <si>
    <t>Budaya Visual</t>
  </si>
  <si>
    <t>Aplikasi Komputer</t>
  </si>
  <si>
    <t>Desain Elementer</t>
  </si>
  <si>
    <t>Menggambar</t>
  </si>
  <si>
    <t>Pra Produksi Multimedia</t>
  </si>
  <si>
    <t>Pancasila</t>
  </si>
  <si>
    <t>Semester 3 (MBKM)</t>
  </si>
  <si>
    <t>Tipografi</t>
  </si>
  <si>
    <t>Statistik</t>
  </si>
  <si>
    <t>Pemodelan 3D Berbasis Karakter</t>
  </si>
  <si>
    <t>Semester 5 (MBKM)</t>
  </si>
  <si>
    <t>Audiografi</t>
  </si>
  <si>
    <t>Animasi 3D</t>
  </si>
  <si>
    <t>Praktikum Audiografi</t>
  </si>
  <si>
    <t>Video Editing</t>
  </si>
  <si>
    <t>Pengolahan Citra Digital</t>
  </si>
  <si>
    <t>Nur wahyu Rahadi, S.Kom., M.Eng.</t>
  </si>
  <si>
    <t>Praktikum Pengolahan Citra Digital</t>
  </si>
  <si>
    <t>Metodologi Penelitian</t>
  </si>
  <si>
    <t>Adlan Nugroho, M.T.I.</t>
  </si>
  <si>
    <t>Ir. Riyadi Purwanto, S.T., M.Eng.</t>
  </si>
  <si>
    <t xml:space="preserve">Nur Muniroh, S.T., M.Kom. </t>
  </si>
  <si>
    <t xml:space="preserve">Rostika Listyaningrum, S.Si., M.Si. </t>
  </si>
  <si>
    <t xml:space="preserve">Annisa Gatri Zakinah, S.Pd, M.Kom. </t>
  </si>
  <si>
    <t xml:space="preserve">Santi Purwaningrum, S.Kom., M.Kom. </t>
  </si>
  <si>
    <t xml:space="preserve">Agus Susanto, S.Kom., M.Kom. </t>
  </si>
  <si>
    <t>Angga Maulana Purba, S.Kom, M.Cs.</t>
  </si>
  <si>
    <t xml:space="preserve">Isa Bahroni, S.Kom, M.Eng. </t>
  </si>
  <si>
    <t>Ammar Fauzan, M.Kom.</t>
  </si>
  <si>
    <t>R. Bagus Bambang Sumantri, S.T., M.Kom.</t>
  </si>
  <si>
    <t>Ir. Fajar Mahardika, S.Kom., M.Kom.</t>
  </si>
  <si>
    <t xml:space="preserve">Dede Yusuf, M.Kom. </t>
  </si>
  <si>
    <t>Dasar Pemrograman</t>
  </si>
  <si>
    <t>Algoritma dan Struktur Data</t>
  </si>
  <si>
    <t>Komunikasi Efektif dan Presentasi</t>
  </si>
  <si>
    <t>Bahasa Inggris Teknik</t>
  </si>
  <si>
    <t>Semester 3</t>
  </si>
  <si>
    <t>Manajemen Proyek Perangkat Lunak</t>
  </si>
  <si>
    <t>Analisis dan Desain Sistem</t>
  </si>
  <si>
    <t>Pemrograman Web</t>
  </si>
  <si>
    <t>Kecerdasan Buatan</t>
  </si>
  <si>
    <t>Keamanan Informasi</t>
  </si>
  <si>
    <t>Interaksi Manusia dan Komputer</t>
  </si>
  <si>
    <t>Pemrograman Mobile</t>
  </si>
  <si>
    <t xml:space="preserve">Rahmawan Bagus Trianto, S.Kom, M.Kom. </t>
  </si>
  <si>
    <t>0000092</t>
  </si>
  <si>
    <t>0000052</t>
  </si>
  <si>
    <t>0000032</t>
  </si>
  <si>
    <t>0000042</t>
  </si>
  <si>
    <t>Program Studi D4-TRPL</t>
  </si>
  <si>
    <t>Nama</t>
  </si>
  <si>
    <t>Jumlah</t>
  </si>
  <si>
    <t>Total</t>
  </si>
  <si>
    <t xml:space="preserve">Semester 1 </t>
  </si>
  <si>
    <t>Program Studi D4-TRM</t>
  </si>
  <si>
    <t>A</t>
  </si>
  <si>
    <t>B</t>
  </si>
  <si>
    <t>C</t>
  </si>
  <si>
    <t>A,B,C</t>
  </si>
  <si>
    <t>Farhatun Sa'diyah, S.Sy., M.H.</t>
  </si>
  <si>
    <t>Drs. Wasi Ariyadi, M.M.</t>
  </si>
  <si>
    <t>Semester 1 (OBE)</t>
  </si>
  <si>
    <t xml:space="preserve">Algoritma Pemrograman
</t>
  </si>
  <si>
    <t>Tri Stiyo Famuji, M.Kom.</t>
  </si>
  <si>
    <t>Arsitektur dan Organisasi Komputer</t>
  </si>
  <si>
    <t>Annisa Gatri Zakinah, S.Pd, M.Kom</t>
  </si>
  <si>
    <t>Andesita Prihantara, S.T., M.Eng.</t>
  </si>
  <si>
    <t>Muhammad Abdul Muin, M.Kom</t>
  </si>
  <si>
    <t>Kalkulus</t>
  </si>
  <si>
    <t>Pengantar Teknologi Informasi dan Literasi</t>
  </si>
  <si>
    <t>Ratih, S.Kom., M.Kom.</t>
  </si>
  <si>
    <t>Satriawan Desmana, S.Kom., M.Kom</t>
  </si>
  <si>
    <t>Sistem Operasi</t>
  </si>
  <si>
    <t>Ratih Hafsarah Maharani, S.Kom., M.Kom</t>
  </si>
  <si>
    <t>Muhammad Nur Faiz, S.Kom., M.Kom.</t>
  </si>
  <si>
    <t>Semester 3 (OBE)</t>
  </si>
  <si>
    <t>Administrasi Sistem Komputer dan Jaringan</t>
  </si>
  <si>
    <t>Abdul Rohman Supriyono, S.T., M.Kom.</t>
  </si>
  <si>
    <t>Kriptografi</t>
  </si>
  <si>
    <t>Pengembangan Perangkat Lunak Aman dan DevSecOps</t>
  </si>
  <si>
    <t>Krisna Nuresa Qodri, S.T., M.Eng.</t>
  </si>
  <si>
    <t>Agama</t>
  </si>
  <si>
    <t>Sri Joko Pamungkas, A.KS., M.Pd.I</t>
  </si>
  <si>
    <t>Keamanan Basis Data</t>
  </si>
  <si>
    <t>Bahasa Indonesia</t>
  </si>
  <si>
    <t>Dr. Winda Dwi Hudhana, M.Pd.</t>
  </si>
  <si>
    <t>Komunikasi Intrapersonal dan Etika Profesi</t>
  </si>
  <si>
    <t>Penetrasi Testing</t>
  </si>
  <si>
    <t>Pengujian Perangkat Lunak</t>
  </si>
  <si>
    <t>Keamanan Perangkat Bergerak</t>
  </si>
  <si>
    <t>Keamanan Web dan Cloud</t>
  </si>
  <si>
    <t>Keamanan Sistem Siber-Fisik</t>
  </si>
  <si>
    <t>Forensik Digital</t>
  </si>
  <si>
    <t>Prak. Penetrasi Testing</t>
  </si>
  <si>
    <t>Prak. Pengujian Perangkat Lunak</t>
  </si>
  <si>
    <t>Prak. Forensik Digital</t>
  </si>
  <si>
    <t>Semester 7 (MBKM)</t>
  </si>
  <si>
    <t>Audit dan Tata Kelola Keamanan Siber</t>
  </si>
  <si>
    <t>Kepemimpinan dan Manajemen Proyek</t>
  </si>
  <si>
    <t>Alfarisi Akbar Efendi, S.E., M.Akt.</t>
  </si>
  <si>
    <t>Sasongko Adi Priyanto, S.E., M.Ak.</t>
  </si>
  <si>
    <t>Lodis Ramadhan, S.Ak., M.Ak.</t>
  </si>
  <si>
    <t>Kewirausahaan</t>
  </si>
  <si>
    <t>Manajemen Risiko TI</t>
  </si>
  <si>
    <t>Metode Penelitian</t>
  </si>
  <si>
    <t>Manajemen Bisnis</t>
  </si>
  <si>
    <t>Haikal Firmansah Anas Pratama, S.Pd., M.Sc.</t>
  </si>
  <si>
    <t>Fredi Setyono, S.E., M.E.</t>
  </si>
  <si>
    <t>Prak. Audit dan Tata Kelola Keamanan Siber</t>
  </si>
  <si>
    <t>Prak. Manajemen Bisnis</t>
  </si>
  <si>
    <t>Dyah Ayumurni Kartikasari, S.Ak., M.Ak.</t>
  </si>
  <si>
    <t>Nurul Maghfirotul Jannah S.Ak., M.Ak.</t>
  </si>
  <si>
    <t>Dheti Septiana, S.E., M.Ak.</t>
  </si>
  <si>
    <t>Bella Adinda Putri, M.Kom</t>
  </si>
  <si>
    <t>Sistem Digital</t>
  </si>
  <si>
    <t>Septi Purwaningsih, S.E., M.Ak.</t>
  </si>
  <si>
    <t xml:space="preserve">Ganjar Ndaru Ikhtiagung, S.E., M.M. </t>
  </si>
  <si>
    <t>Bella Adinda Putri, M.Kom.</t>
  </si>
  <si>
    <t>Ratih Hafsarah Maharani, S.Kom., M.Kom.</t>
  </si>
  <si>
    <t>0000062</t>
  </si>
  <si>
    <t>0000022</t>
  </si>
  <si>
    <t>0000012</t>
  </si>
  <si>
    <t>Bahasa Inggris</t>
  </si>
  <si>
    <t>Program Studi D3-Teknik Informatika</t>
  </si>
  <si>
    <t>Semester 1 (DIferensiasi Misi)</t>
  </si>
  <si>
    <t>Kode MK</t>
  </si>
  <si>
    <t>Mata Kuliah</t>
  </si>
  <si>
    <t>Bobot SKS</t>
  </si>
  <si>
    <t>Prak</t>
  </si>
  <si>
    <t>Jam Teori</t>
  </si>
  <si>
    <t>Jam Praktik</t>
  </si>
  <si>
    <t>Jumlah SKS</t>
  </si>
  <si>
    <t>Jumlah JP</t>
  </si>
  <si>
    <t>Algoritma dan Pemrograman</t>
  </si>
  <si>
    <t>A,B,C,D</t>
  </si>
  <si>
    <t>Dwi Novia Prasetyanti, S.Kom., M.Cs.</t>
  </si>
  <si>
    <t>Arsitektur Komputer</t>
  </si>
  <si>
    <t>Rahmawan Bagus Trianto, S.Kom, M.Kom</t>
  </si>
  <si>
    <t>C,D</t>
  </si>
  <si>
    <t>Pengantar Sistem Informasi</t>
  </si>
  <si>
    <t>Riyadi Purwanto, S.T., M.Eng.</t>
  </si>
  <si>
    <t>Nur Wahyu Rahadi, S.Kom., M.Eng.</t>
  </si>
  <si>
    <t>Rostika Listyaningrum, S.Si., M.Si.</t>
  </si>
  <si>
    <t>Basis Data</t>
  </si>
  <si>
    <t>Jumlah Beban Studi</t>
  </si>
  <si>
    <t>Semester 3 (DIferensiasi Misi)</t>
  </si>
  <si>
    <t>Praktikum</t>
  </si>
  <si>
    <t>Jaringan Komputer</t>
  </si>
  <si>
    <t>Rekayasa Perangkat Lunak</t>
  </si>
  <si>
    <t>Cahya Vikasari, S.T., M.Eng.</t>
  </si>
  <si>
    <t>Desain Antarmuka Interaktif</t>
  </si>
  <si>
    <t>Pemrograman Web Dasar</t>
  </si>
  <si>
    <t>Fajar Mahardika, S.Kom., M.Kom.</t>
  </si>
  <si>
    <t>Keterampilan Komputer</t>
  </si>
  <si>
    <t>Matematika Dasar</t>
  </si>
  <si>
    <t>Drs. Koes Wiyatmoko, M.Kom.</t>
  </si>
  <si>
    <t>Riko Iman Decamarta, M.Kom.</t>
  </si>
  <si>
    <t>D</t>
  </si>
  <si>
    <t>Anchieta Ave Avillanova, M.Pd.</t>
  </si>
  <si>
    <t>B,C,D</t>
  </si>
  <si>
    <t xml:space="preserve">Muhammad Abdul Muin, M.Kom </t>
  </si>
  <si>
    <t>Nur Rahmat Dwi Riyanto, M.Kom.</t>
  </si>
  <si>
    <t>Okta Fatqiyatus Sholihah, S.H., M.H.</t>
  </si>
  <si>
    <t>0912014</t>
  </si>
  <si>
    <t>0912023</t>
  </si>
  <si>
    <t>0910032</t>
  </si>
  <si>
    <t>0912053</t>
  </si>
  <si>
    <t>0912043</t>
  </si>
  <si>
    <t>0912063</t>
  </si>
  <si>
    <t>0932144</t>
  </si>
  <si>
    <t>0930153</t>
  </si>
  <si>
    <t>0930162</t>
  </si>
  <si>
    <t>0932174</t>
  </si>
  <si>
    <t>0930182</t>
  </si>
  <si>
    <t>0950352</t>
  </si>
  <si>
    <t>0950362</t>
  </si>
  <si>
    <t>0950372</t>
  </si>
  <si>
    <t>0950382</t>
  </si>
  <si>
    <t>0950392</t>
  </si>
  <si>
    <t>0950402</t>
  </si>
  <si>
    <t>0951412</t>
  </si>
  <si>
    <t>0951422</t>
  </si>
  <si>
    <t>0951432</t>
  </si>
  <si>
    <t>kode_group</t>
  </si>
  <si>
    <t>0212013</t>
  </si>
  <si>
    <t>0210023</t>
  </si>
  <si>
    <t>0210032</t>
  </si>
  <si>
    <t>0211042</t>
  </si>
  <si>
    <t>0210053</t>
  </si>
  <si>
    <t>0212063</t>
  </si>
  <si>
    <t>0232143</t>
  </si>
  <si>
    <t>0232153</t>
  </si>
  <si>
    <t>0232163</t>
  </si>
  <si>
    <t>0232173</t>
  </si>
  <si>
    <t>0232183</t>
  </si>
  <si>
    <t>0232193</t>
  </si>
  <si>
    <t>0232102</t>
  </si>
  <si>
    <t>0970462</t>
  </si>
  <si>
    <t>0970473</t>
  </si>
  <si>
    <t>0970482</t>
  </si>
  <si>
    <t>0970492</t>
  </si>
  <si>
    <t>0970503</t>
  </si>
  <si>
    <t>0971513</t>
  </si>
  <si>
    <t>0971523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</si>
</sst>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A7E2"/>
        <bgColor rgb="FF00A7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5" borderId="1" xfId="0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0" fillId="5" borderId="1" xfId="0" quotePrefix="1" applyFill="1" applyBorder="1" applyAlignment="1">
      <alignment horizontal="center" wrapText="1"/>
    </xf>
    <xf numFmtId="0" fontId="5" fillId="6" borderId="0" xfId="0" applyFont="1" applyFill="1"/>
    <xf numFmtId="0" fontId="6" fillId="6" borderId="0" xfId="0" applyFont="1" applyFill="1"/>
    <xf numFmtId="0" fontId="7" fillId="0" borderId="0" xfId="0" applyFont="1"/>
    <xf numFmtId="0" fontId="8" fillId="0" borderId="0" xfId="0" applyFont="1"/>
    <xf numFmtId="0" fontId="9" fillId="7" borderId="7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9" xfId="0" applyFont="1" applyBorder="1"/>
    <xf numFmtId="0" fontId="11" fillId="0" borderId="7" xfId="0" applyFont="1" applyBorder="1"/>
    <xf numFmtId="0" fontId="9" fillId="8" borderId="7" xfId="0" applyFont="1" applyFill="1" applyBorder="1"/>
    <xf numFmtId="0" fontId="11" fillId="9" borderId="8" xfId="0" applyFont="1" applyFill="1" applyBorder="1" applyAlignment="1">
      <alignment horizontal="center"/>
    </xf>
    <xf numFmtId="0" fontId="11" fillId="9" borderId="9" xfId="0" applyFont="1" applyFill="1" applyBorder="1" applyAlignment="1">
      <alignment horizontal="center"/>
    </xf>
    <xf numFmtId="0" fontId="11" fillId="9" borderId="9" xfId="0" applyFont="1" applyFill="1" applyBorder="1"/>
    <xf numFmtId="0" fontId="9" fillId="9" borderId="7" xfId="0" applyFont="1" applyFill="1" applyBorder="1" applyAlignment="1">
      <alignment horizontal="center"/>
    </xf>
    <xf numFmtId="0" fontId="9" fillId="9" borderId="7" xfId="0" applyFont="1" applyFill="1" applyBorder="1"/>
    <xf numFmtId="0" fontId="11" fillId="9" borderId="7" xfId="0" applyFont="1" applyFill="1" applyBorder="1"/>
    <xf numFmtId="0" fontId="7" fillId="0" borderId="7" xfId="0" applyFont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 applyAlignment="1">
      <alignment horizontal="center"/>
    </xf>
    <xf numFmtId="0" fontId="3" fillId="10" borderId="13" xfId="0" applyFont="1" applyFill="1" applyBorder="1" applyAlignment="1">
      <alignment vertical="center"/>
    </xf>
    <xf numFmtId="0" fontId="3" fillId="11" borderId="1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12" borderId="1" xfId="0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wrapText="1"/>
    </xf>
    <xf numFmtId="0" fontId="0" fillId="14" borderId="1" xfId="0" applyFill="1" applyBorder="1" applyAlignment="1">
      <alignment horizontal="center" wrapText="1"/>
    </xf>
    <xf numFmtId="0" fontId="0" fillId="14" borderId="1" xfId="0" applyFill="1" applyBorder="1" applyAlignment="1">
      <alignment wrapText="1"/>
    </xf>
    <xf numFmtId="0" fontId="2" fillId="14" borderId="1" xfId="0" applyFont="1" applyFill="1" applyBorder="1" applyAlignment="1">
      <alignment horizontal="center" wrapText="1"/>
    </xf>
    <xf numFmtId="0" fontId="0" fillId="14" borderId="1" xfId="0" applyFill="1" applyBorder="1" applyAlignment="1">
      <alignment vertical="center" wrapText="1"/>
    </xf>
    <xf numFmtId="0" fontId="0" fillId="14" borderId="0" xfId="0" applyFill="1"/>
    <xf numFmtId="0" fontId="0" fillId="14" borderId="14" xfId="0" applyFill="1" applyBorder="1" applyAlignment="1">
      <alignment vertical="center" wrapText="1"/>
    </xf>
    <xf numFmtId="0" fontId="0" fillId="14" borderId="14" xfId="0" applyFill="1" applyBorder="1" applyAlignment="1">
      <alignment wrapText="1"/>
    </xf>
    <xf numFmtId="0" fontId="0" fillId="14" borderId="14" xfId="0" applyFill="1" applyBorder="1" applyAlignment="1">
      <alignment horizontal="right" wrapText="1"/>
    </xf>
    <xf numFmtId="0" fontId="2" fillId="0" borderId="15" xfId="0" applyFont="1" applyBorder="1" applyAlignment="1">
      <alignment vertical="center"/>
    </xf>
    <xf numFmtId="0" fontId="0" fillId="0" borderId="15" xfId="0" applyBorder="1" applyAlignment="1">
      <alignment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wrapText="1"/>
    </xf>
    <xf numFmtId="0" fontId="0" fillId="0" borderId="1" xfId="0" quotePrefix="1" applyBorder="1" applyAlignment="1">
      <alignment horizontal="center" wrapText="1"/>
    </xf>
    <xf numFmtId="0" fontId="0" fillId="14" borderId="1" xfId="0" quotePrefix="1" applyFill="1" applyBorder="1" applyAlignment="1">
      <alignment horizont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15" borderId="0" xfId="0" applyFill="1" applyAlignment="1">
      <alignment vertical="center"/>
    </xf>
    <xf numFmtId="0" fontId="0" fillId="15" borderId="0" xfId="0" applyFill="1" applyAlignment="1">
      <alignment wrapText="1"/>
    </xf>
    <xf numFmtId="0" fontId="0" fillId="5" borderId="0" xfId="0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2" fillId="15" borderId="1" xfId="0" quotePrefix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vertical="center" wrapText="1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9" fillId="7" borderId="4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0" fillId="5" borderId="17" xfId="0" applyFill="1" applyBorder="1" applyAlignment="1">
      <alignment horizontal="center" wrapText="1"/>
    </xf>
    <xf numFmtId="0" fontId="12" fillId="15" borderId="2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wrapText="1"/>
    </xf>
    <xf numFmtId="0" fontId="0" fillId="5" borderId="17" xfId="0" applyFill="1" applyBorder="1" applyAlignment="1">
      <alignment vertical="center" wrapText="1"/>
    </xf>
    <xf numFmtId="0" fontId="0" fillId="5" borderId="17" xfId="0" applyFill="1" applyBorder="1" applyAlignment="1">
      <alignment wrapText="1"/>
    </xf>
    <xf numFmtId="0" fontId="12" fillId="0" borderId="1" xfId="0" quotePrefix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15" borderId="14" xfId="0" applyFont="1" applyFill="1" applyBorder="1" applyAlignment="1">
      <alignment horizontal="center" vertical="center" wrapText="1"/>
    </xf>
    <xf numFmtId="0" fontId="0" fillId="15" borderId="14" xfId="0" applyFill="1" applyBorder="1" applyAlignment="1">
      <alignment wrapText="1"/>
    </xf>
    <xf numFmtId="0" fontId="12" fillId="0" borderId="17" xfId="0" applyFont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0" fillId="15" borderId="1" xfId="0" applyFill="1" applyBorder="1"/>
    <xf numFmtId="0" fontId="1" fillId="15" borderId="1" xfId="0" applyFont="1" applyFill="1" applyBorder="1" applyAlignment="1">
      <alignment wrapText="1"/>
    </xf>
    <xf numFmtId="0" fontId="0" fillId="14" borderId="1" xfId="0" applyFill="1" applyBorder="1" applyAlignment="1">
      <alignment horizontal="right" wrapText="1"/>
    </xf>
    <xf numFmtId="0" fontId="0" fillId="14" borderId="1" xfId="0" applyFill="1" applyBorder="1" applyAlignment="1">
      <alignment horizontal="left" wrapText="1"/>
    </xf>
    <xf numFmtId="0" fontId="0" fillId="0" borderId="1" xfId="0" applyBorder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right" vertical="center" wrapText="1"/>
    </xf>
    <xf numFmtId="0" fontId="2" fillId="14" borderId="14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horizontal="right" vertical="center" wrapText="1"/>
    </xf>
    <xf numFmtId="0" fontId="4" fillId="13" borderId="1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9" fillId="7" borderId="4" xfId="0" applyFont="1" applyFill="1" applyBorder="1" applyAlignment="1">
      <alignment horizontal="center" vertical="center"/>
    </xf>
    <xf numFmtId="0" fontId="10" fillId="0" borderId="8" xfId="0" applyFont="1" applyBorder="1"/>
    <xf numFmtId="0" fontId="9" fillId="7" borderId="4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/>
    </xf>
    <xf numFmtId="0" fontId="10" fillId="0" borderId="6" xfId="0" applyFont="1" applyBorder="1"/>
    <xf numFmtId="0" fontId="7" fillId="0" borderId="5" xfId="0" applyFont="1" applyBorder="1" applyAlignment="1">
      <alignment horizontal="center" vertical="center"/>
    </xf>
    <xf numFmtId="0" fontId="10" fillId="0" borderId="10" xfId="0" applyFont="1" applyBorder="1"/>
    <xf numFmtId="0" fontId="9" fillId="0" borderId="11" xfId="0" applyFont="1" applyBorder="1" applyAlignment="1">
      <alignment horizontal="center"/>
    </xf>
    <xf numFmtId="0" fontId="10" fillId="0" borderId="12" xfId="0" applyFont="1" applyBorder="1"/>
    <xf numFmtId="0" fontId="10" fillId="0" borderId="9" xfId="0" applyFont="1" applyBorder="1"/>
    <xf numFmtId="0" fontId="12" fillId="5" borderId="1" xfId="0" quotePrefix="1" applyFont="1" applyFill="1" applyBorder="1" applyAlignment="1">
      <alignment horizontal="center" vertical="center" wrapText="1"/>
    </xf>
    <xf numFmtId="0" fontId="12" fillId="5" borderId="17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B3B5-AEE6-415D-9ED3-9449B8DF8EF7}">
  <dimension ref="A1:Y994"/>
  <sheetViews>
    <sheetView showGridLines="0" topLeftCell="A16" zoomScale="85" zoomScaleNormal="85" workbookViewId="0">
      <selection activeCell="F34" sqref="F34:F35"/>
    </sheetView>
  </sheetViews>
  <sheetFormatPr defaultRowHeight="15" x14ac:dyDescent="0.25"/>
  <cols>
    <col min="1" max="1" width="14" customWidth="1"/>
    <col min="2" max="2" width="16.140625" bestFit="1" customWidth="1"/>
    <col min="3" max="3" width="40.7109375" customWidth="1"/>
    <col min="4" max="5" width="5.5703125" bestFit="1" customWidth="1"/>
    <col min="6" max="6" width="10.5703125" customWidth="1"/>
    <col min="7" max="8" width="5.5703125" bestFit="1" customWidth="1"/>
    <col min="9" max="9" width="23.85546875" customWidth="1"/>
    <col min="10" max="10" width="37.5703125" customWidth="1"/>
  </cols>
  <sheetData>
    <row r="1" spans="1:25" ht="15.75" thickBot="1" x14ac:dyDescent="0.3">
      <c r="A1" s="38" t="s">
        <v>87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25">
      <c r="A2" s="9" t="s">
        <v>30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30" customHeight="1" x14ac:dyDescent="0.25">
      <c r="A3" s="110" t="s">
        <v>0</v>
      </c>
      <c r="B3" s="110" t="s">
        <v>13</v>
      </c>
      <c r="C3" s="110" t="s">
        <v>14</v>
      </c>
      <c r="D3" s="111" t="s">
        <v>6</v>
      </c>
      <c r="E3" s="111"/>
      <c r="F3" s="114" t="s">
        <v>216</v>
      </c>
      <c r="G3" s="112" t="s">
        <v>15</v>
      </c>
      <c r="H3" s="113"/>
      <c r="I3" s="106" t="s">
        <v>1</v>
      </c>
      <c r="J3" s="106" t="s">
        <v>12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x14ac:dyDescent="0.25">
      <c r="A4" s="110"/>
      <c r="B4" s="110"/>
      <c r="C4" s="110"/>
      <c r="D4" s="3" t="s">
        <v>2</v>
      </c>
      <c r="E4" s="3" t="s">
        <v>16</v>
      </c>
      <c r="F4" s="115"/>
      <c r="G4" s="3" t="s">
        <v>2</v>
      </c>
      <c r="H4" s="3" t="s">
        <v>16</v>
      </c>
      <c r="I4" s="106"/>
      <c r="J4" s="106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x14ac:dyDescent="0.25">
      <c r="A5" s="4">
        <v>1</v>
      </c>
      <c r="B5" s="4">
        <v>1110012</v>
      </c>
      <c r="C5" s="2" t="s">
        <v>31</v>
      </c>
      <c r="D5" s="4">
        <v>2</v>
      </c>
      <c r="E5" s="2"/>
      <c r="F5" s="2"/>
      <c r="G5" s="4">
        <v>2</v>
      </c>
      <c r="H5" s="2"/>
      <c r="I5" s="4" t="s">
        <v>88</v>
      </c>
      <c r="J5" s="1" t="s">
        <v>53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x14ac:dyDescent="0.25">
      <c r="A6" s="4">
        <v>2</v>
      </c>
      <c r="B6" s="4">
        <v>1110012</v>
      </c>
      <c r="C6" s="2" t="s">
        <v>31</v>
      </c>
      <c r="D6" s="4">
        <v>2</v>
      </c>
      <c r="E6" s="2"/>
      <c r="F6" s="2"/>
      <c r="G6" s="4">
        <v>2</v>
      </c>
      <c r="H6" s="2"/>
      <c r="I6" s="4" t="s">
        <v>89</v>
      </c>
      <c r="J6" s="1" t="s">
        <v>24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x14ac:dyDescent="0.25">
      <c r="A7" s="4">
        <v>3</v>
      </c>
      <c r="B7" s="4">
        <v>1110012</v>
      </c>
      <c r="C7" s="2" t="s">
        <v>31</v>
      </c>
      <c r="D7" s="4">
        <v>2</v>
      </c>
      <c r="E7" s="2"/>
      <c r="F7" s="2"/>
      <c r="G7" s="4">
        <v>2</v>
      </c>
      <c r="H7" s="2"/>
      <c r="I7" s="4" t="s">
        <v>90</v>
      </c>
      <c r="J7" s="1" t="s">
        <v>52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x14ac:dyDescent="0.25">
      <c r="A8" s="5">
        <v>4</v>
      </c>
      <c r="B8" s="5">
        <v>1110022</v>
      </c>
      <c r="C8" s="1" t="s">
        <v>32</v>
      </c>
      <c r="D8" s="5">
        <v>2</v>
      </c>
      <c r="E8" s="1"/>
      <c r="F8" s="1"/>
      <c r="G8" s="5">
        <v>2</v>
      </c>
      <c r="H8" s="1"/>
      <c r="I8" s="5" t="s">
        <v>91</v>
      </c>
      <c r="J8" s="2" t="s">
        <v>54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x14ac:dyDescent="0.25">
      <c r="A9" s="5">
        <v>5</v>
      </c>
      <c r="B9" s="5">
        <v>1110032</v>
      </c>
      <c r="C9" s="1" t="s">
        <v>10</v>
      </c>
      <c r="D9" s="5">
        <v>2</v>
      </c>
      <c r="E9" s="1"/>
      <c r="F9" s="1"/>
      <c r="G9" s="5">
        <v>2</v>
      </c>
      <c r="H9" s="1"/>
      <c r="I9" s="5" t="s">
        <v>91</v>
      </c>
      <c r="J9" s="1" t="s">
        <v>55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x14ac:dyDescent="0.25">
      <c r="A10" s="4">
        <v>6</v>
      </c>
      <c r="B10" s="5">
        <v>1110042</v>
      </c>
      <c r="C10" s="1" t="s">
        <v>33</v>
      </c>
      <c r="D10" s="5">
        <v>2</v>
      </c>
      <c r="E10" s="1"/>
      <c r="F10" s="1"/>
      <c r="G10" s="5">
        <v>2</v>
      </c>
      <c r="H10" s="1"/>
      <c r="I10" s="5" t="s">
        <v>91</v>
      </c>
      <c r="J10" s="1" t="s">
        <v>21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x14ac:dyDescent="0.25">
      <c r="A11" s="4">
        <v>7</v>
      </c>
      <c r="B11" s="5">
        <v>1111052</v>
      </c>
      <c r="C11" s="1" t="s">
        <v>34</v>
      </c>
      <c r="D11" s="1"/>
      <c r="E11" s="5">
        <v>2</v>
      </c>
      <c r="F11" s="5"/>
      <c r="G11" s="1"/>
      <c r="H11" s="5">
        <v>4</v>
      </c>
      <c r="I11" s="5" t="s">
        <v>91</v>
      </c>
      <c r="J11" s="2" t="s">
        <v>56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x14ac:dyDescent="0.25">
      <c r="A12" s="4">
        <v>8</v>
      </c>
      <c r="B12" s="5">
        <v>1111063</v>
      </c>
      <c r="C12" s="1" t="s">
        <v>35</v>
      </c>
      <c r="D12" s="1"/>
      <c r="E12" s="5">
        <v>2</v>
      </c>
      <c r="F12" s="5"/>
      <c r="G12" s="1"/>
      <c r="H12" s="5">
        <v>4</v>
      </c>
      <c r="I12" s="5" t="s">
        <v>91</v>
      </c>
      <c r="J12" s="1" t="s">
        <v>57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x14ac:dyDescent="0.25">
      <c r="A13" s="5">
        <v>9</v>
      </c>
      <c r="B13" s="5">
        <v>1111073</v>
      </c>
      <c r="C13" s="1" t="s">
        <v>36</v>
      </c>
      <c r="D13" s="1"/>
      <c r="E13" s="5">
        <v>2</v>
      </c>
      <c r="F13" s="5"/>
      <c r="G13" s="1"/>
      <c r="H13" s="5">
        <v>4</v>
      </c>
      <c r="I13" s="5" t="s">
        <v>91</v>
      </c>
      <c r="J13" s="1" t="s">
        <v>58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x14ac:dyDescent="0.25">
      <c r="A14" s="5">
        <v>10</v>
      </c>
      <c r="B14" s="4">
        <v>1111082</v>
      </c>
      <c r="C14" s="2" t="s">
        <v>37</v>
      </c>
      <c r="D14" s="2"/>
      <c r="E14" s="5">
        <v>2</v>
      </c>
      <c r="F14" s="5"/>
      <c r="G14" s="2"/>
      <c r="H14" s="4">
        <v>4</v>
      </c>
      <c r="I14" s="4" t="s">
        <v>5</v>
      </c>
      <c r="J14" s="2" t="s">
        <v>59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30" x14ac:dyDescent="0.25">
      <c r="A15" s="4">
        <v>11</v>
      </c>
      <c r="B15" s="4">
        <v>1111082</v>
      </c>
      <c r="C15" s="2" t="s">
        <v>37</v>
      </c>
      <c r="D15" s="2"/>
      <c r="E15" s="4">
        <v>2</v>
      </c>
      <c r="F15" s="4"/>
      <c r="G15" s="2"/>
      <c r="H15" s="4">
        <v>4</v>
      </c>
      <c r="I15" s="4" t="s">
        <v>90</v>
      </c>
      <c r="J15" s="2" t="s">
        <v>19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x14ac:dyDescent="0.25">
      <c r="A16" s="4">
        <v>12</v>
      </c>
      <c r="B16" s="61" t="s">
        <v>80</v>
      </c>
      <c r="C16" s="1" t="s">
        <v>38</v>
      </c>
      <c r="D16" s="5">
        <v>2</v>
      </c>
      <c r="E16" s="1"/>
      <c r="F16" s="1"/>
      <c r="G16" s="5">
        <v>2</v>
      </c>
      <c r="H16" s="1"/>
      <c r="I16" s="5" t="s">
        <v>91</v>
      </c>
      <c r="J16" s="101" t="s">
        <v>93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25">
      <c r="A19" s="9" t="s">
        <v>39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5" customHeight="1" x14ac:dyDescent="0.25">
      <c r="A20" s="107" t="s">
        <v>0</v>
      </c>
      <c r="B20" s="107" t="s">
        <v>13</v>
      </c>
      <c r="C20" s="107" t="s">
        <v>14</v>
      </c>
      <c r="D20" s="108" t="s">
        <v>6</v>
      </c>
      <c r="E20" s="108"/>
      <c r="F20" s="107" t="s">
        <v>216</v>
      </c>
      <c r="G20" s="108" t="s">
        <v>15</v>
      </c>
      <c r="H20" s="108"/>
      <c r="I20" s="109" t="s">
        <v>1</v>
      </c>
      <c r="J20" s="109" t="s">
        <v>12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x14ac:dyDescent="0.25">
      <c r="A21" s="107"/>
      <c r="B21" s="107"/>
      <c r="C21" s="107"/>
      <c r="D21" s="6" t="s">
        <v>2</v>
      </c>
      <c r="E21" s="6" t="s">
        <v>16</v>
      </c>
      <c r="F21" s="107"/>
      <c r="G21" s="6" t="s">
        <v>2</v>
      </c>
      <c r="H21" s="6" t="s">
        <v>16</v>
      </c>
      <c r="I21" s="109"/>
      <c r="J21" s="10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x14ac:dyDescent="0.25">
      <c r="A22" s="5">
        <v>1</v>
      </c>
      <c r="B22" s="5">
        <v>1130152</v>
      </c>
      <c r="C22" s="1" t="s">
        <v>40</v>
      </c>
      <c r="D22" s="5">
        <v>2</v>
      </c>
      <c r="E22" s="1"/>
      <c r="F22" s="1"/>
      <c r="G22" s="5">
        <v>2</v>
      </c>
      <c r="H22" s="1"/>
      <c r="I22" s="5" t="s">
        <v>91</v>
      </c>
      <c r="J22" s="1" t="s">
        <v>17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x14ac:dyDescent="0.25">
      <c r="A23" s="5">
        <v>2</v>
      </c>
      <c r="B23" s="5">
        <v>1130162</v>
      </c>
      <c r="C23" s="1" t="s">
        <v>41</v>
      </c>
      <c r="D23" s="5">
        <v>2</v>
      </c>
      <c r="E23" s="1"/>
      <c r="F23" s="1"/>
      <c r="G23" s="5">
        <v>2</v>
      </c>
      <c r="H23" s="1"/>
      <c r="I23" s="5" t="s">
        <v>91</v>
      </c>
      <c r="J23" s="1" t="s">
        <v>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x14ac:dyDescent="0.25">
      <c r="A24" s="5">
        <v>3</v>
      </c>
      <c r="B24" s="5">
        <v>1130172</v>
      </c>
      <c r="C24" s="1" t="s">
        <v>27</v>
      </c>
      <c r="D24" s="5">
        <v>2</v>
      </c>
      <c r="E24" s="1"/>
      <c r="F24" s="1"/>
      <c r="G24" s="5">
        <v>2</v>
      </c>
      <c r="H24" s="1"/>
      <c r="I24" s="5" t="s">
        <v>91</v>
      </c>
      <c r="J24" s="1" t="s">
        <v>60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x14ac:dyDescent="0.25">
      <c r="A25" s="5">
        <v>4</v>
      </c>
      <c r="B25" s="5">
        <v>1130182</v>
      </c>
      <c r="C25" s="1" t="s">
        <v>22</v>
      </c>
      <c r="D25" s="5">
        <v>2</v>
      </c>
      <c r="E25" s="1"/>
      <c r="F25" s="1"/>
      <c r="G25" s="5">
        <v>2</v>
      </c>
      <c r="H25" s="1"/>
      <c r="I25" s="5" t="s">
        <v>91</v>
      </c>
      <c r="J25" s="1" t="s">
        <v>60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x14ac:dyDescent="0.25">
      <c r="A26" s="5">
        <v>5</v>
      </c>
      <c r="B26" s="5">
        <v>1131193</v>
      </c>
      <c r="C26" s="1" t="s">
        <v>42</v>
      </c>
      <c r="D26" s="1"/>
      <c r="E26" s="5">
        <v>2</v>
      </c>
      <c r="F26" s="5"/>
      <c r="G26" s="1"/>
      <c r="H26" s="5">
        <v>4</v>
      </c>
      <c r="I26" s="5" t="s">
        <v>91</v>
      </c>
      <c r="J26" s="1" t="s">
        <v>58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x14ac:dyDescent="0.25">
      <c r="A27" s="5">
        <v>6</v>
      </c>
      <c r="B27" s="5">
        <v>1131203</v>
      </c>
      <c r="C27" s="1" t="s">
        <v>25</v>
      </c>
      <c r="D27" s="1"/>
      <c r="E27" s="5">
        <v>2</v>
      </c>
      <c r="F27" s="5"/>
      <c r="G27" s="1"/>
      <c r="H27" s="5">
        <v>4</v>
      </c>
      <c r="I27" s="5" t="s">
        <v>91</v>
      </c>
      <c r="J27" s="2" t="s">
        <v>18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x14ac:dyDescent="0.25">
      <c r="A28" s="5">
        <v>7</v>
      </c>
      <c r="B28" s="4">
        <v>1131212</v>
      </c>
      <c r="C28" s="2" t="s">
        <v>4</v>
      </c>
      <c r="D28" s="2"/>
      <c r="E28" s="5">
        <v>2</v>
      </c>
      <c r="F28" s="5"/>
      <c r="G28" s="2"/>
      <c r="H28" s="4">
        <v>4</v>
      </c>
      <c r="I28" s="4" t="s">
        <v>5</v>
      </c>
      <c r="J28" s="98" t="s">
        <v>194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5" customHeight="1" x14ac:dyDescent="0.25">
      <c r="A29" s="5">
        <v>8</v>
      </c>
      <c r="B29" s="4">
        <v>1131212</v>
      </c>
      <c r="C29" s="2" t="s">
        <v>4</v>
      </c>
      <c r="D29" s="2"/>
      <c r="E29" s="5">
        <v>2</v>
      </c>
      <c r="F29" s="5"/>
      <c r="G29" s="2"/>
      <c r="H29" s="4">
        <v>4</v>
      </c>
      <c r="I29" s="4" t="s">
        <v>90</v>
      </c>
      <c r="J29" s="1" t="s">
        <v>77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x14ac:dyDescent="0.25">
      <c r="A30" s="5">
        <v>9</v>
      </c>
      <c r="B30" s="5">
        <v>1131223</v>
      </c>
      <c r="C30" s="1" t="s">
        <v>23</v>
      </c>
      <c r="D30" s="1"/>
      <c r="E30" s="5">
        <v>2</v>
      </c>
      <c r="F30" s="5"/>
      <c r="G30" s="1"/>
      <c r="H30" s="5">
        <v>4</v>
      </c>
      <c r="I30" s="5" t="s">
        <v>91</v>
      </c>
      <c r="J30" s="74" t="s">
        <v>64</v>
      </c>
      <c r="K30" s="8"/>
      <c r="L30" s="8"/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x14ac:dyDescent="0.25">
      <c r="A33" s="9" t="s">
        <v>43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5" customHeight="1" x14ac:dyDescent="0.25">
      <c r="A34" s="118" t="s">
        <v>0</v>
      </c>
      <c r="B34" s="118" t="s">
        <v>13</v>
      </c>
      <c r="C34" s="118" t="s">
        <v>14</v>
      </c>
      <c r="D34" s="117" t="s">
        <v>6</v>
      </c>
      <c r="E34" s="117"/>
      <c r="F34" s="118" t="s">
        <v>216</v>
      </c>
      <c r="G34" s="117" t="s">
        <v>15</v>
      </c>
      <c r="H34" s="117"/>
      <c r="I34" s="116" t="s">
        <v>1</v>
      </c>
      <c r="J34" s="116" t="s">
        <v>12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x14ac:dyDescent="0.25">
      <c r="A35" s="118"/>
      <c r="B35" s="118"/>
      <c r="C35" s="118"/>
      <c r="D35" s="7" t="s">
        <v>2</v>
      </c>
      <c r="E35" s="7" t="s">
        <v>16</v>
      </c>
      <c r="F35" s="118"/>
      <c r="G35" s="7" t="s">
        <v>2</v>
      </c>
      <c r="H35" s="7" t="s">
        <v>16</v>
      </c>
      <c r="I35" s="116"/>
      <c r="J35" s="116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x14ac:dyDescent="0.25">
      <c r="A36" s="5">
        <v>1</v>
      </c>
      <c r="B36" s="5">
        <v>1150372</v>
      </c>
      <c r="C36" s="1" t="s">
        <v>44</v>
      </c>
      <c r="D36" s="5">
        <v>2</v>
      </c>
      <c r="E36" s="1"/>
      <c r="F36" s="1"/>
      <c r="G36" s="5">
        <v>2</v>
      </c>
      <c r="H36" s="1"/>
      <c r="I36" s="5" t="s">
        <v>91</v>
      </c>
      <c r="J36" s="74" t="s">
        <v>61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3.5" customHeight="1" x14ac:dyDescent="0.25">
      <c r="A37" s="5">
        <v>2</v>
      </c>
      <c r="B37" s="5">
        <v>1151382</v>
      </c>
      <c r="C37" s="1" t="s">
        <v>45</v>
      </c>
      <c r="D37" s="1"/>
      <c r="E37" s="5">
        <v>2</v>
      </c>
      <c r="F37" s="5"/>
      <c r="G37" s="1"/>
      <c r="H37" s="5">
        <v>4</v>
      </c>
      <c r="I37" s="5" t="s">
        <v>91</v>
      </c>
      <c r="J37" s="74" t="s">
        <v>62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x14ac:dyDescent="0.25">
      <c r="A38" s="5">
        <v>3</v>
      </c>
      <c r="B38" s="5">
        <v>1151392</v>
      </c>
      <c r="C38" s="1" t="s">
        <v>46</v>
      </c>
      <c r="D38" s="1"/>
      <c r="E38" s="5">
        <v>2</v>
      </c>
      <c r="F38" s="5"/>
      <c r="G38" s="1"/>
      <c r="H38" s="5">
        <v>4</v>
      </c>
      <c r="I38" s="5" t="s">
        <v>91</v>
      </c>
      <c r="J38" s="74" t="s">
        <v>61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4.25" customHeight="1" x14ac:dyDescent="0.25">
      <c r="A39" s="5">
        <v>4</v>
      </c>
      <c r="B39" s="5">
        <v>1151402</v>
      </c>
      <c r="C39" s="1" t="s">
        <v>47</v>
      </c>
      <c r="D39" s="1"/>
      <c r="E39" s="5">
        <v>2</v>
      </c>
      <c r="F39" s="5"/>
      <c r="G39" s="1"/>
      <c r="H39" s="5">
        <v>4</v>
      </c>
      <c r="I39" s="5" t="s">
        <v>91</v>
      </c>
      <c r="J39" s="1" t="s">
        <v>19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x14ac:dyDescent="0.25">
      <c r="A40" s="5">
        <v>5</v>
      </c>
      <c r="B40" s="5">
        <v>1150412</v>
      </c>
      <c r="C40" s="1" t="s">
        <v>48</v>
      </c>
      <c r="D40" s="5">
        <v>2</v>
      </c>
      <c r="E40" s="1"/>
      <c r="F40" s="1"/>
      <c r="G40" s="5">
        <v>2</v>
      </c>
      <c r="H40" s="1"/>
      <c r="I40" s="5" t="s">
        <v>91</v>
      </c>
      <c r="J40" s="1" t="s">
        <v>59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x14ac:dyDescent="0.25">
      <c r="A41" s="5">
        <v>6</v>
      </c>
      <c r="B41" s="5">
        <v>1150422</v>
      </c>
      <c r="C41" s="1" t="s">
        <v>3</v>
      </c>
      <c r="D41" s="5">
        <v>2</v>
      </c>
      <c r="E41" s="1"/>
      <c r="F41" s="1"/>
      <c r="G41" s="5">
        <v>2</v>
      </c>
      <c r="H41" s="1"/>
      <c r="I41" s="5" t="s">
        <v>91</v>
      </c>
      <c r="J41" s="1" t="s">
        <v>49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x14ac:dyDescent="0.25">
      <c r="A42" s="5">
        <v>7</v>
      </c>
      <c r="B42" s="5">
        <v>1151432</v>
      </c>
      <c r="C42" s="1" t="s">
        <v>50</v>
      </c>
      <c r="D42" s="1"/>
      <c r="E42" s="5">
        <v>2</v>
      </c>
      <c r="F42" s="5"/>
      <c r="G42" s="1"/>
      <c r="H42" s="5">
        <v>4</v>
      </c>
      <c r="I42" s="5" t="s">
        <v>91</v>
      </c>
      <c r="J42" s="1" t="s">
        <v>59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4.25" customHeight="1" x14ac:dyDescent="0.25">
      <c r="A43" s="5">
        <v>8</v>
      </c>
      <c r="B43" s="5">
        <v>1151442</v>
      </c>
      <c r="C43" s="1" t="s">
        <v>9</v>
      </c>
      <c r="D43" s="1"/>
      <c r="E43" s="5">
        <v>2</v>
      </c>
      <c r="F43" s="5"/>
      <c r="G43" s="1"/>
      <c r="H43" s="5">
        <v>4</v>
      </c>
      <c r="I43" s="5" t="s">
        <v>91</v>
      </c>
      <c r="J43" s="1" t="s">
        <v>63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5" customHeight="1" x14ac:dyDescent="0.25">
      <c r="A44" s="5">
        <v>9</v>
      </c>
      <c r="B44" s="5">
        <v>1150452</v>
      </c>
      <c r="C44" s="1" t="s">
        <v>51</v>
      </c>
      <c r="D44" s="5">
        <v>2</v>
      </c>
      <c r="E44" s="1"/>
      <c r="F44" s="1"/>
      <c r="G44" s="5">
        <v>2</v>
      </c>
      <c r="H44" s="1"/>
      <c r="I44" s="5" t="s">
        <v>91</v>
      </c>
      <c r="J44" s="1" t="s">
        <v>19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1:25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1:25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1:25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1:25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1:25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1:25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1:25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1:25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1:25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1:25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1:25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1:25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1:25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1:25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1:25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1:25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1:25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1:25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1:25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1:25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1:25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1:25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1:25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1:25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1:25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1:25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1:25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1:25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1:25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1:25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1:25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1:25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1:25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1:25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1:25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1:25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1:25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1:25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1:25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1:25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1:25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1:25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1:25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1:25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1:25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1:25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1:25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1:25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spans="1:25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spans="1:25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spans="1:25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1:25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1:25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1:25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1:25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1:25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1:25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1:25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1:25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1:25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1:25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1:25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spans="1:25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1:25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1:25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1:25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1:25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1:25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1:25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spans="1:25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spans="1:25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spans="1:25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spans="1:25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spans="1:25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spans="1:25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spans="1:25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1:25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spans="1:25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1:25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spans="1:25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spans="1:25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1:25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1:25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spans="1:25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1:25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spans="1:25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1:25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spans="1:25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spans="1:25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spans="1:25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1:25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spans="1:25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spans="1:25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spans="1:25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1:25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spans="1:25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spans="1:25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spans="1:25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spans="1:25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spans="1:25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spans="1:25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spans="1:25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spans="1:25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spans="1:25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spans="1:25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spans="1:25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1:25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spans="1:25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spans="1:25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spans="1:25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spans="1:25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spans="1:25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spans="1:25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spans="1:25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1:25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spans="1:25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spans="1:25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spans="1:25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1:25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spans="1:25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1:25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spans="1:25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spans="1:25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spans="1:25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spans="1:25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spans="1:25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1:25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spans="1:25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1:25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spans="1:25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spans="1:25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spans="1:25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1:25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1:25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1:25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spans="1:25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1:25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spans="1:25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1:25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spans="1:25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spans="1:25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spans="1:25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spans="1:25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spans="1:25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spans="1:25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spans="1:25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1:25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spans="1:25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spans="1:25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spans="1:25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1:25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spans="1:25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1:25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spans="1:25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spans="1:25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spans="1:25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spans="1:25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spans="1:25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spans="1:25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1:25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spans="1:25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spans="1:25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1:25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spans="1:25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spans="1:25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spans="1:25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1:25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spans="1:25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spans="1:25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spans="1:25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spans="1:25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spans="1:25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1:25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spans="1:25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spans="1:25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1:25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1:25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1:25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1:25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spans="1:25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spans="1:25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1:25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spans="1:25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spans="1:25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1:25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spans="1:25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1:25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1:25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1:25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spans="1:25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1:25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spans="1:25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spans="1:25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spans="1:25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1:25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1:25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spans="1:25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spans="1:25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1:25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spans="1:25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1:25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spans="1:25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1:25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spans="1:25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spans="1:25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spans="1:25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spans="1:25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spans="1:25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spans="1:25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spans="1:25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spans="1:25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spans="1:25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1:25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spans="1:25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spans="1:25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spans="1:25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spans="1:25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spans="1:25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spans="1:25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spans="1:25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spans="1:25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spans="1:25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spans="1:25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spans="1:25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spans="1:25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spans="1:25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spans="1:25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spans="1:25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spans="1:25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spans="1:25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spans="1:25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spans="1:25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spans="1:25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spans="1:25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spans="1:25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spans="1:25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spans="1:25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spans="1:25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spans="1:25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spans="1:25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spans="1:25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spans="1:25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spans="1:25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spans="1:25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spans="1:25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spans="1:25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spans="1:25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spans="1:25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1:25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1:25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1:25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1:25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1:25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1:25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1:25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1:25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1:25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1:25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1:25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1:25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1:25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1:25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1:25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1:25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1:25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1:25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1:25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1:25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1:25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1:25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1:25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1:25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1:25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1:25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1:25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1:25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1:25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1:25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1:25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1:25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1:25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1:25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1:25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1:25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1:25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1:25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1:25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1:25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1:25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1:25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1:25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1:25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:25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1:25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:25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1:25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1:25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1:25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1:25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1:25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1:25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1:25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1:25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:25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1:25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1:25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1:25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1:25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1:25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1:25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1:25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1:25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1:25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1:25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1:25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1:25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1:25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1:25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1:25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1:25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1:25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1:25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1:25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1:25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1:25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1:25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1:25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1:25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1:25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1:25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1:25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1:25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1:25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1:25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1:25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1:25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1:25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1:25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1:25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1:25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1:25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1:25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1:25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1:25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1:25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1:25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1:25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1:25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1:25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1:25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1:25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1:25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1:25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1:25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1:25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1:25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1:25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1:25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1:25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1:25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1:25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1:25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1:25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1:25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1:25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1:25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1:25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1:25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1:25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1:25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1:25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1:25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1:25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1:25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1:25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1:25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1:25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1:25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1:25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1:25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1:25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1:25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1:25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1:25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1:25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1:25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1:25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1:25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1:25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1:25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1:25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1:25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1:25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1:25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1:25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1:25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1:25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1:25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1:25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1:25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1:25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1:25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1:25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1:25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1:25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1:25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1:25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1:25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1:25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1:25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1:25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1:25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1:25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1:25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1:25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1:25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1:25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1:25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1:25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1:25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1:25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1:25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1:25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1:25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1:25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1:25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1:25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1:25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1:25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1:25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1:25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1:25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1:25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1:25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1:25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1:25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1:25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1:25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1:25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1:25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1:25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1:25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1:25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1:25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1:25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1:25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1:25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1:25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1:25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1:25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1:25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1:25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1:25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1:25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1:25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1:25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1:25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1:25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1:25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1:25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1:25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1:25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1:25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1:25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1:25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1:25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1:25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1:25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1:25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1:25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1:25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1:25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1:25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1:25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1:25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1:25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1:25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1:25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1:25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1:25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1:25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1:25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1:25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1:25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1:25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1:25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1:25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1:25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1:25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1:25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1:25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1:25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1:25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1:25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1:25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1:25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1:25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1:25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1:25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1:25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1:25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1:25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1:25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1:25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1:25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1:25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1:25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1:25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1:25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1:25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1:25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1:25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1:25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1:25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1:25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1:25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1:25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1:25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1:25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1:25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1:25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1:25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1:25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1:25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1:25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1:25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1:25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1:25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1:25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1:25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1:25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1:25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1:25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1:25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1:25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1:25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1:25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1:25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1:25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1:25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1:25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1:25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1:25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1:25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1:25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1:25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1:25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1:25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1:25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1:25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1:25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1:25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1:25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1:25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1:25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1:25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1:25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1:25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1:25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1:25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1:25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1:25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1:25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1:25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1:25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1:25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1:25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1:25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spans="1:25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spans="1:25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spans="1:25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spans="1:25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spans="1:25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spans="1:25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spans="1:25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spans="1:25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spans="1:25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spans="1:25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spans="1:25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spans="1:25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spans="1:25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1:25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1:25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spans="1:25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spans="1:25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spans="1:25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spans="1:25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spans="1:25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spans="1:25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spans="1:25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1:25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spans="1:25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spans="1:25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1:25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spans="1:25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spans="1:25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spans="1:25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spans="1:25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spans="1:25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spans="1:25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spans="1:25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spans="1:25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spans="1:25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spans="1:25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spans="1:25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spans="1:25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spans="1:25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spans="1:25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spans="1:25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spans="1:25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spans="1:25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spans="1:25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spans="1:25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spans="1:25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spans="1:25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spans="1:25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spans="1:25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spans="1:25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spans="1:25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spans="1:25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spans="1:25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spans="1:25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spans="1:25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spans="1:25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spans="1:25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spans="1:25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spans="1:25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spans="1:25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spans="1:25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spans="1:25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spans="1:25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spans="1:25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spans="1:25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spans="1:25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spans="1:25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spans="1:25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1:25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spans="1:25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spans="1:25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spans="1:25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spans="1:25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spans="1:25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spans="1:25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spans="1:25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spans="1:25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spans="1:25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spans="1:25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spans="1:25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spans="1:25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spans="1:25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spans="1:25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spans="1:25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spans="1:25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spans="1:25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spans="1:25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spans="1:25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spans="1:25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spans="1:25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spans="1:25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spans="1:25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spans="1:25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spans="1:25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spans="1:25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spans="1:25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spans="1:25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spans="1:25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spans="1:25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spans="1:25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spans="1:25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spans="1:25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spans="1:25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spans="1:25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spans="1:25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spans="1:25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spans="1:25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spans="1:25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spans="1:25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1:25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spans="1:25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spans="1:25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spans="1:25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spans="1:25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spans="1:25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spans="1:25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spans="1:25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spans="1:25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spans="1:25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spans="1:25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spans="1:25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spans="1:25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spans="1:25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spans="1:25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spans="1:25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spans="1:25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spans="1:25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spans="1:25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spans="1:25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spans="1:25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spans="1:25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spans="1:25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spans="1:25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spans="1:25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spans="1:25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spans="1:25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spans="1:25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spans="1:25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spans="1:25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spans="1:25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spans="1:25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spans="1:25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spans="1:25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spans="1:25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spans="1:25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spans="1:25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spans="1:25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spans="1:25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spans="1:25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spans="1:25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1:25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spans="1:25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spans="1:25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spans="1:25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spans="1:25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spans="1:25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spans="1:25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spans="1:25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spans="1:25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spans="1:25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spans="1:25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spans="1:25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spans="1:25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spans="1:25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spans="1:25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spans="1:25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spans="1:25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spans="1:25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spans="1:25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spans="1:25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spans="1:25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spans="1:25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spans="1:25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spans="1:25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spans="1:25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spans="1:25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spans="1:25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spans="1:25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spans="1:25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spans="1:25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spans="1:25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spans="1:25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spans="1:25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spans="1:25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spans="1:25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spans="1:25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spans="1:25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spans="1:25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spans="1:25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spans="1:25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spans="1:25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spans="1:25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spans="1:25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spans="1:25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spans="1:25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spans="1:25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spans="1:25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spans="1:25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spans="1:25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</sheetData>
  <mergeCells count="24">
    <mergeCell ref="J34:J35"/>
    <mergeCell ref="D34:E34"/>
    <mergeCell ref="A34:A35"/>
    <mergeCell ref="B34:B35"/>
    <mergeCell ref="C34:C35"/>
    <mergeCell ref="G34:H34"/>
    <mergeCell ref="I34:I35"/>
    <mergeCell ref="F34:F35"/>
    <mergeCell ref="J3:J4"/>
    <mergeCell ref="A20:A21"/>
    <mergeCell ref="B20:B21"/>
    <mergeCell ref="C20:C21"/>
    <mergeCell ref="D20:E20"/>
    <mergeCell ref="G20:H20"/>
    <mergeCell ref="I20:I21"/>
    <mergeCell ref="J20:J21"/>
    <mergeCell ref="A3:A4"/>
    <mergeCell ref="B3:B4"/>
    <mergeCell ref="C3:C4"/>
    <mergeCell ref="D3:E3"/>
    <mergeCell ref="G3:H3"/>
    <mergeCell ref="I3:I4"/>
    <mergeCell ref="F3:F4"/>
    <mergeCell ref="F20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1F8E-CABA-4BF6-AAEC-5EDF407D485C}">
  <dimension ref="A1:K67"/>
  <sheetViews>
    <sheetView topLeftCell="A31" zoomScaleNormal="100" workbookViewId="0">
      <selection activeCell="A67" sqref="A67:C67"/>
    </sheetView>
  </sheetViews>
  <sheetFormatPr defaultRowHeight="15" x14ac:dyDescent="0.25"/>
  <cols>
    <col min="2" max="2" width="13.85546875" customWidth="1"/>
    <col min="3" max="3" width="50.42578125" customWidth="1"/>
    <col min="6" max="6" width="14.28515625" customWidth="1"/>
    <col min="10" max="10" width="40.42578125" customWidth="1"/>
  </cols>
  <sheetData>
    <row r="1" spans="1:10" x14ac:dyDescent="0.25">
      <c r="A1" s="39"/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25">
      <c r="A2" s="41" t="s">
        <v>94</v>
      </c>
      <c r="B2" s="1"/>
      <c r="C2" s="2"/>
      <c r="D2" s="2"/>
      <c r="E2" s="2"/>
      <c r="F2" s="2"/>
      <c r="G2" s="2"/>
      <c r="H2" s="2"/>
      <c r="I2" s="2"/>
      <c r="J2" s="2"/>
    </row>
    <row r="3" spans="1:10" ht="30" customHeight="1" x14ac:dyDescent="0.25">
      <c r="A3" s="124" t="s">
        <v>0</v>
      </c>
      <c r="B3" s="124" t="s">
        <v>13</v>
      </c>
      <c r="C3" s="124" t="s">
        <v>14</v>
      </c>
      <c r="D3" s="125" t="s">
        <v>6</v>
      </c>
      <c r="E3" s="125"/>
      <c r="F3" s="119" t="s">
        <v>216</v>
      </c>
      <c r="G3" s="125" t="s">
        <v>15</v>
      </c>
      <c r="H3" s="125"/>
      <c r="I3" s="121" t="s">
        <v>1</v>
      </c>
      <c r="J3" s="121" t="s">
        <v>12</v>
      </c>
    </row>
    <row r="4" spans="1:10" x14ac:dyDescent="0.25">
      <c r="A4" s="124"/>
      <c r="B4" s="124"/>
      <c r="C4" s="124"/>
      <c r="D4" s="42" t="s">
        <v>2</v>
      </c>
      <c r="E4" s="42" t="s">
        <v>16</v>
      </c>
      <c r="F4" s="120"/>
      <c r="G4" s="42" t="s">
        <v>2</v>
      </c>
      <c r="H4" s="42" t="s">
        <v>16</v>
      </c>
      <c r="I4" s="121"/>
      <c r="J4" s="121"/>
    </row>
    <row r="5" spans="1:10" ht="30" x14ac:dyDescent="0.25">
      <c r="A5" s="48">
        <v>1</v>
      </c>
      <c r="B5" s="62" t="s">
        <v>196</v>
      </c>
      <c r="C5" s="49" t="s">
        <v>95</v>
      </c>
      <c r="D5" s="48">
        <v>1</v>
      </c>
      <c r="E5" s="48">
        <v>3</v>
      </c>
      <c r="F5" s="48"/>
      <c r="G5" s="48">
        <v>1</v>
      </c>
      <c r="H5" s="48">
        <v>6</v>
      </c>
      <c r="I5" s="49" t="s">
        <v>91</v>
      </c>
      <c r="J5" s="74" t="s">
        <v>96</v>
      </c>
    </row>
    <row r="6" spans="1:10" x14ac:dyDescent="0.25">
      <c r="A6" s="48">
        <v>2</v>
      </c>
      <c r="B6" s="62" t="s">
        <v>197</v>
      </c>
      <c r="C6" s="49" t="s">
        <v>97</v>
      </c>
      <c r="D6" s="48">
        <v>2</v>
      </c>
      <c r="E6" s="48">
        <v>1</v>
      </c>
      <c r="F6" s="48"/>
      <c r="G6" s="48">
        <v>2</v>
      </c>
      <c r="H6" s="48">
        <v>2</v>
      </c>
      <c r="I6" s="49" t="s">
        <v>88</v>
      </c>
      <c r="J6" s="49" t="s">
        <v>98</v>
      </c>
    </row>
    <row r="7" spans="1:10" x14ac:dyDescent="0.25">
      <c r="A7" s="48">
        <v>3</v>
      </c>
      <c r="B7" s="62" t="s">
        <v>197</v>
      </c>
      <c r="C7" s="49" t="s">
        <v>97</v>
      </c>
      <c r="D7" s="48">
        <v>2</v>
      </c>
      <c r="E7" s="48">
        <v>1</v>
      </c>
      <c r="F7" s="48"/>
      <c r="G7" s="48">
        <v>2</v>
      </c>
      <c r="H7" s="48">
        <v>2</v>
      </c>
      <c r="I7" s="49" t="s">
        <v>89</v>
      </c>
      <c r="J7" s="49" t="s">
        <v>99</v>
      </c>
    </row>
    <row r="8" spans="1:10" x14ac:dyDescent="0.25">
      <c r="A8" s="48">
        <v>4</v>
      </c>
      <c r="B8" s="62" t="s">
        <v>197</v>
      </c>
      <c r="C8" s="49" t="s">
        <v>97</v>
      </c>
      <c r="D8" s="48">
        <v>2</v>
      </c>
      <c r="E8" s="48">
        <v>1</v>
      </c>
      <c r="F8" s="48"/>
      <c r="G8" s="48">
        <v>2</v>
      </c>
      <c r="H8" s="48">
        <v>2</v>
      </c>
      <c r="I8" s="49" t="s">
        <v>90</v>
      </c>
      <c r="J8" s="49" t="s">
        <v>100</v>
      </c>
    </row>
    <row r="9" spans="1:10" x14ac:dyDescent="0.25">
      <c r="A9" s="48">
        <v>5</v>
      </c>
      <c r="B9" s="62" t="s">
        <v>79</v>
      </c>
      <c r="C9" s="49" t="s">
        <v>155</v>
      </c>
      <c r="D9" s="48">
        <v>2</v>
      </c>
      <c r="E9" s="48">
        <v>0</v>
      </c>
      <c r="F9" s="48"/>
      <c r="G9" s="48">
        <v>2</v>
      </c>
      <c r="H9" s="48">
        <v>0</v>
      </c>
      <c r="I9" s="49" t="s">
        <v>91</v>
      </c>
      <c r="J9" s="49" t="s">
        <v>21</v>
      </c>
    </row>
    <row r="10" spans="1:10" x14ac:dyDescent="0.25">
      <c r="A10" s="48">
        <v>6</v>
      </c>
      <c r="B10" s="62" t="s">
        <v>198</v>
      </c>
      <c r="C10" s="49" t="s">
        <v>101</v>
      </c>
      <c r="D10" s="48">
        <v>2</v>
      </c>
      <c r="E10" s="48">
        <v>0</v>
      </c>
      <c r="F10" s="48"/>
      <c r="G10" s="48">
        <v>2</v>
      </c>
      <c r="H10" s="48">
        <v>0</v>
      </c>
      <c r="I10" s="49" t="s">
        <v>91</v>
      </c>
      <c r="J10" s="49" t="s">
        <v>7</v>
      </c>
    </row>
    <row r="11" spans="1:10" x14ac:dyDescent="0.25">
      <c r="A11" s="48">
        <v>7</v>
      </c>
      <c r="B11" s="62" t="s">
        <v>200</v>
      </c>
      <c r="C11" s="49" t="s">
        <v>102</v>
      </c>
      <c r="D11" s="48">
        <v>2</v>
      </c>
      <c r="E11" s="48">
        <v>1</v>
      </c>
      <c r="F11" s="48"/>
      <c r="G11" s="48">
        <v>2</v>
      </c>
      <c r="H11" s="48">
        <v>2</v>
      </c>
      <c r="I11" s="49" t="s">
        <v>91</v>
      </c>
      <c r="J11" s="49" t="s">
        <v>103</v>
      </c>
    </row>
    <row r="12" spans="1:10" x14ac:dyDescent="0.25">
      <c r="A12" s="48">
        <v>8</v>
      </c>
      <c r="B12" s="62" t="s">
        <v>199</v>
      </c>
      <c r="C12" s="49" t="s">
        <v>147</v>
      </c>
      <c r="D12" s="48">
        <v>1</v>
      </c>
      <c r="E12" s="48">
        <v>2</v>
      </c>
      <c r="F12" s="48"/>
      <c r="G12" s="48">
        <v>1</v>
      </c>
      <c r="H12" s="48">
        <v>4</v>
      </c>
      <c r="I12" s="49" t="s">
        <v>91</v>
      </c>
      <c r="J12" s="49" t="s">
        <v>104</v>
      </c>
    </row>
    <row r="13" spans="1:10" x14ac:dyDescent="0.25">
      <c r="A13" s="48">
        <v>9</v>
      </c>
      <c r="B13" s="62" t="s">
        <v>201</v>
      </c>
      <c r="C13" s="49" t="s">
        <v>105</v>
      </c>
      <c r="D13" s="48">
        <v>1</v>
      </c>
      <c r="E13" s="48">
        <v>2</v>
      </c>
      <c r="F13" s="48"/>
      <c r="G13" s="48">
        <v>1</v>
      </c>
      <c r="H13" s="48">
        <v>4</v>
      </c>
      <c r="I13" s="49" t="s">
        <v>88</v>
      </c>
      <c r="J13" s="49" t="s">
        <v>104</v>
      </c>
    </row>
    <row r="14" spans="1:10" x14ac:dyDescent="0.25">
      <c r="A14" s="48">
        <v>10</v>
      </c>
      <c r="B14" s="62" t="s">
        <v>201</v>
      </c>
      <c r="C14" s="49" t="s">
        <v>105</v>
      </c>
      <c r="D14" s="48">
        <v>1</v>
      </c>
      <c r="E14" s="48">
        <v>2</v>
      </c>
      <c r="F14" s="48"/>
      <c r="G14" s="48">
        <v>1</v>
      </c>
      <c r="H14" s="48">
        <v>4</v>
      </c>
      <c r="I14" s="49" t="s">
        <v>89</v>
      </c>
      <c r="J14" s="49" t="s">
        <v>106</v>
      </c>
    </row>
    <row r="15" spans="1:10" x14ac:dyDescent="0.25">
      <c r="A15" s="48">
        <v>11</v>
      </c>
      <c r="B15" s="62" t="s">
        <v>201</v>
      </c>
      <c r="C15" s="49" t="s">
        <v>105</v>
      </c>
      <c r="D15" s="48">
        <v>1</v>
      </c>
      <c r="E15" s="48">
        <v>2</v>
      </c>
      <c r="F15" s="48"/>
      <c r="G15" s="48">
        <v>1</v>
      </c>
      <c r="H15" s="48">
        <v>4</v>
      </c>
      <c r="I15" s="49" t="s">
        <v>90</v>
      </c>
      <c r="J15" s="49" t="s">
        <v>107</v>
      </c>
    </row>
    <row r="16" spans="1:10" x14ac:dyDescent="0.25">
      <c r="A16" s="122" t="s">
        <v>84</v>
      </c>
      <c r="B16" s="122"/>
      <c r="C16" s="122"/>
      <c r="D16" s="50">
        <v>11</v>
      </c>
      <c r="E16" s="50">
        <v>9</v>
      </c>
      <c r="F16" s="50"/>
      <c r="G16" s="50">
        <v>11</v>
      </c>
      <c r="H16" s="50">
        <v>18</v>
      </c>
      <c r="I16" s="49"/>
      <c r="J16" s="49"/>
    </row>
    <row r="17" spans="1:11" x14ac:dyDescent="0.25">
      <c r="A17" s="53"/>
      <c r="B17" s="54"/>
      <c r="C17" s="53"/>
      <c r="D17" s="123">
        <v>20</v>
      </c>
      <c r="E17" s="123"/>
      <c r="F17" s="100"/>
      <c r="G17" s="53"/>
      <c r="H17" s="55">
        <v>29</v>
      </c>
      <c r="I17" s="53"/>
      <c r="J17" s="53"/>
    </row>
    <row r="18" spans="1:11" x14ac:dyDescent="0.25">
      <c r="A18" s="59"/>
      <c r="B18" s="60"/>
      <c r="C18" s="59"/>
      <c r="D18" s="59"/>
      <c r="E18" s="59"/>
      <c r="F18" s="59"/>
      <c r="G18" s="59"/>
      <c r="H18" s="59"/>
      <c r="I18" s="59"/>
      <c r="J18" s="59"/>
    </row>
    <row r="19" spans="1:11" x14ac:dyDescent="0.25">
      <c r="A19" s="56" t="s">
        <v>108</v>
      </c>
      <c r="B19" s="57"/>
      <c r="C19" s="58"/>
      <c r="D19" s="58"/>
      <c r="E19" s="58"/>
      <c r="F19" s="58"/>
      <c r="G19" s="58"/>
      <c r="H19" s="58"/>
      <c r="I19" s="58"/>
      <c r="J19" s="58"/>
    </row>
    <row r="20" spans="1:11" ht="15" customHeight="1" x14ac:dyDescent="0.25">
      <c r="A20" s="124" t="s">
        <v>0</v>
      </c>
      <c r="B20" s="124" t="s">
        <v>13</v>
      </c>
      <c r="C20" s="124" t="s">
        <v>14</v>
      </c>
      <c r="D20" s="125" t="s">
        <v>6</v>
      </c>
      <c r="E20" s="125"/>
      <c r="F20" s="119" t="s">
        <v>216</v>
      </c>
      <c r="G20" s="125" t="s">
        <v>15</v>
      </c>
      <c r="H20" s="125"/>
      <c r="I20" s="121" t="s">
        <v>1</v>
      </c>
      <c r="J20" s="121" t="s">
        <v>12</v>
      </c>
    </row>
    <row r="21" spans="1:11" x14ac:dyDescent="0.25">
      <c r="A21" s="124"/>
      <c r="B21" s="124"/>
      <c r="C21" s="124"/>
      <c r="D21" s="42" t="s">
        <v>2</v>
      </c>
      <c r="E21" s="42" t="s">
        <v>16</v>
      </c>
      <c r="F21" s="120"/>
      <c r="G21" s="42" t="s">
        <v>2</v>
      </c>
      <c r="H21" s="42" t="s">
        <v>16</v>
      </c>
      <c r="I21" s="121"/>
      <c r="J21" s="121"/>
    </row>
    <row r="22" spans="1:11" ht="17.25" customHeight="1" x14ac:dyDescent="0.25">
      <c r="A22" s="48">
        <v>1</v>
      </c>
      <c r="B22" s="62" t="s">
        <v>202</v>
      </c>
      <c r="C22" s="49" t="s">
        <v>109</v>
      </c>
      <c r="D22" s="48">
        <v>2</v>
      </c>
      <c r="E22" s="48">
        <v>2</v>
      </c>
      <c r="F22" s="48"/>
      <c r="G22" s="48">
        <v>2</v>
      </c>
      <c r="H22" s="48">
        <v>4</v>
      </c>
      <c r="I22" s="49" t="s">
        <v>91</v>
      </c>
      <c r="J22" s="49" t="s">
        <v>110</v>
      </c>
      <c r="K22" s="52"/>
    </row>
    <row r="23" spans="1:11" ht="14.25" customHeight="1" x14ac:dyDescent="0.25">
      <c r="A23" s="48">
        <v>2</v>
      </c>
      <c r="B23" s="62" t="s">
        <v>203</v>
      </c>
      <c r="C23" s="49" t="s">
        <v>111</v>
      </c>
      <c r="D23" s="48">
        <v>3</v>
      </c>
      <c r="E23" s="48">
        <v>0</v>
      </c>
      <c r="F23" s="48"/>
      <c r="G23" s="48">
        <v>3</v>
      </c>
      <c r="H23" s="48">
        <v>0</v>
      </c>
      <c r="I23" s="49" t="s">
        <v>91</v>
      </c>
      <c r="J23" s="49" t="s">
        <v>106</v>
      </c>
      <c r="K23" s="52"/>
    </row>
    <row r="24" spans="1:11" ht="15.75" customHeight="1" x14ac:dyDescent="0.25">
      <c r="A24" s="48">
        <v>3</v>
      </c>
      <c r="B24" s="62" t="s">
        <v>204</v>
      </c>
      <c r="C24" s="49" t="s">
        <v>112</v>
      </c>
      <c r="D24" s="48">
        <v>2</v>
      </c>
      <c r="E24" s="48">
        <v>0</v>
      </c>
      <c r="F24" s="48"/>
      <c r="G24" s="48">
        <v>2</v>
      </c>
      <c r="H24" s="48">
        <v>0</v>
      </c>
      <c r="I24" s="49" t="s">
        <v>91</v>
      </c>
      <c r="J24" s="49" t="s">
        <v>113</v>
      </c>
      <c r="K24" s="52"/>
    </row>
    <row r="25" spans="1:11" x14ac:dyDescent="0.25">
      <c r="A25" s="48">
        <v>4</v>
      </c>
      <c r="B25" s="62" t="s">
        <v>154</v>
      </c>
      <c r="C25" s="49" t="s">
        <v>114</v>
      </c>
      <c r="D25" s="48">
        <v>2</v>
      </c>
      <c r="E25" s="48">
        <v>0</v>
      </c>
      <c r="F25" s="48"/>
      <c r="G25" s="48">
        <v>2</v>
      </c>
      <c r="H25" s="48">
        <v>0</v>
      </c>
      <c r="I25" s="49" t="s">
        <v>91</v>
      </c>
      <c r="J25" s="74" t="s">
        <v>115</v>
      </c>
      <c r="K25" s="52"/>
    </row>
    <row r="26" spans="1:11" x14ac:dyDescent="0.25">
      <c r="A26" s="48">
        <v>5</v>
      </c>
      <c r="B26" s="62" t="s">
        <v>205</v>
      </c>
      <c r="C26" s="49" t="s">
        <v>116</v>
      </c>
      <c r="D26" s="48">
        <v>1</v>
      </c>
      <c r="E26" s="48">
        <v>2</v>
      </c>
      <c r="F26" s="48"/>
      <c r="G26" s="48">
        <v>1</v>
      </c>
      <c r="H26" s="48">
        <v>4</v>
      </c>
      <c r="I26" s="49" t="s">
        <v>91</v>
      </c>
      <c r="J26" s="49" t="s">
        <v>107</v>
      </c>
      <c r="K26" s="52"/>
    </row>
    <row r="27" spans="1:11" x14ac:dyDescent="0.25">
      <c r="A27" s="48">
        <v>6</v>
      </c>
      <c r="B27" s="62" t="s">
        <v>80</v>
      </c>
      <c r="C27" s="49" t="s">
        <v>38</v>
      </c>
      <c r="D27" s="48">
        <v>2</v>
      </c>
      <c r="E27" s="48">
        <v>0</v>
      </c>
      <c r="F27" s="48"/>
      <c r="G27" s="48">
        <v>2</v>
      </c>
      <c r="H27" s="48">
        <v>0</v>
      </c>
      <c r="I27" s="49" t="s">
        <v>91</v>
      </c>
      <c r="J27" s="74" t="s">
        <v>195</v>
      </c>
      <c r="K27" s="52"/>
    </row>
    <row r="28" spans="1:11" x14ac:dyDescent="0.25">
      <c r="A28" s="48">
        <v>7</v>
      </c>
      <c r="B28" s="62" t="s">
        <v>153</v>
      </c>
      <c r="C28" s="49" t="s">
        <v>117</v>
      </c>
      <c r="D28" s="48">
        <v>2</v>
      </c>
      <c r="E28" s="48">
        <v>0</v>
      </c>
      <c r="F28" s="48"/>
      <c r="G28" s="48">
        <v>2</v>
      </c>
      <c r="H28" s="48">
        <v>0</v>
      </c>
      <c r="I28" s="49" t="s">
        <v>91</v>
      </c>
      <c r="J28" s="74" t="s">
        <v>118</v>
      </c>
      <c r="K28" s="52"/>
    </row>
    <row r="29" spans="1:11" ht="15" customHeight="1" x14ac:dyDescent="0.25">
      <c r="A29" s="48">
        <v>8</v>
      </c>
      <c r="B29" s="62" t="s">
        <v>206</v>
      </c>
      <c r="C29" s="49" t="s">
        <v>119</v>
      </c>
      <c r="D29" s="48">
        <v>2</v>
      </c>
      <c r="E29" s="48">
        <v>0</v>
      </c>
      <c r="F29" s="48"/>
      <c r="G29" s="48">
        <v>2</v>
      </c>
      <c r="H29" s="48">
        <v>0</v>
      </c>
      <c r="I29" s="49" t="s">
        <v>91</v>
      </c>
      <c r="J29" s="49" t="s">
        <v>146</v>
      </c>
      <c r="K29" s="52"/>
    </row>
    <row r="30" spans="1:11" x14ac:dyDescent="0.25">
      <c r="A30" s="126" t="s">
        <v>84</v>
      </c>
      <c r="B30" s="126"/>
      <c r="C30" s="126"/>
      <c r="D30" s="44">
        <v>16</v>
      </c>
      <c r="E30" s="44">
        <v>4</v>
      </c>
      <c r="F30" s="44"/>
      <c r="G30" s="44">
        <v>16</v>
      </c>
      <c r="H30" s="44">
        <v>8</v>
      </c>
      <c r="I30" s="45"/>
      <c r="J30" s="45"/>
    </row>
    <row r="31" spans="1:11" x14ac:dyDescent="0.25">
      <c r="A31" s="2"/>
      <c r="B31" s="1"/>
      <c r="C31" s="2"/>
      <c r="D31" s="127">
        <v>20</v>
      </c>
      <c r="E31" s="127"/>
      <c r="F31" s="44"/>
      <c r="G31" s="2"/>
      <c r="H31" s="46">
        <v>24</v>
      </c>
      <c r="I31" s="2"/>
      <c r="J31" s="2"/>
    </row>
    <row r="32" spans="1:11" x14ac:dyDescent="0.25">
      <c r="A32" s="59"/>
      <c r="B32" s="60"/>
      <c r="C32" s="59"/>
      <c r="D32" s="59"/>
      <c r="E32" s="59"/>
      <c r="F32" s="59"/>
      <c r="G32" s="59"/>
      <c r="H32" s="59"/>
      <c r="I32" s="59"/>
      <c r="J32" s="59"/>
    </row>
    <row r="33" spans="1:10" x14ac:dyDescent="0.25">
      <c r="A33" s="56" t="s">
        <v>43</v>
      </c>
      <c r="B33" s="57"/>
      <c r="C33" s="58"/>
      <c r="D33" s="58"/>
      <c r="E33" s="58"/>
      <c r="F33" s="58"/>
      <c r="G33" s="58"/>
      <c r="H33" s="58"/>
      <c r="I33" s="58"/>
      <c r="J33" s="58"/>
    </row>
    <row r="34" spans="1:10" ht="15" customHeight="1" x14ac:dyDescent="0.25">
      <c r="A34" s="124" t="s">
        <v>0</v>
      </c>
      <c r="B34" s="124" t="s">
        <v>13</v>
      </c>
      <c r="C34" s="124" t="s">
        <v>14</v>
      </c>
      <c r="D34" s="125" t="s">
        <v>6</v>
      </c>
      <c r="E34" s="125"/>
      <c r="F34" s="119" t="s">
        <v>216</v>
      </c>
      <c r="G34" s="125" t="s">
        <v>15</v>
      </c>
      <c r="H34" s="125"/>
      <c r="I34" s="121" t="s">
        <v>1</v>
      </c>
      <c r="J34" s="121" t="s">
        <v>12</v>
      </c>
    </row>
    <row r="35" spans="1:10" x14ac:dyDescent="0.25">
      <c r="A35" s="124"/>
      <c r="B35" s="124"/>
      <c r="C35" s="124"/>
      <c r="D35" s="42" t="s">
        <v>2</v>
      </c>
      <c r="E35" s="42" t="s">
        <v>16</v>
      </c>
      <c r="F35" s="120"/>
      <c r="G35" s="42" t="s">
        <v>2</v>
      </c>
      <c r="H35" s="42" t="s">
        <v>16</v>
      </c>
      <c r="I35" s="121"/>
      <c r="J35" s="121"/>
    </row>
    <row r="36" spans="1:10" x14ac:dyDescent="0.25">
      <c r="A36" s="48">
        <v>1</v>
      </c>
      <c r="B36" s="62" t="s">
        <v>207</v>
      </c>
      <c r="C36" s="49" t="s">
        <v>120</v>
      </c>
      <c r="D36" s="48">
        <v>2</v>
      </c>
      <c r="E36" s="49"/>
      <c r="F36" s="48">
        <v>1399</v>
      </c>
      <c r="G36" s="48">
        <v>2</v>
      </c>
      <c r="H36" s="49"/>
      <c r="I36" s="49" t="s">
        <v>91</v>
      </c>
      <c r="J36" s="74" t="s">
        <v>189</v>
      </c>
    </row>
    <row r="37" spans="1:10" x14ac:dyDescent="0.25">
      <c r="A37" s="48">
        <v>2</v>
      </c>
      <c r="B37" s="62" t="s">
        <v>153</v>
      </c>
      <c r="C37" s="49" t="s">
        <v>117</v>
      </c>
      <c r="D37" s="48">
        <v>2</v>
      </c>
      <c r="E37" s="49"/>
      <c r="F37" s="49"/>
      <c r="G37" s="48">
        <v>2</v>
      </c>
      <c r="H37" s="49"/>
      <c r="I37" s="49" t="s">
        <v>91</v>
      </c>
      <c r="J37" s="74" t="s">
        <v>118</v>
      </c>
    </row>
    <row r="38" spans="1:10" x14ac:dyDescent="0.25">
      <c r="A38" s="48">
        <v>3</v>
      </c>
      <c r="B38" s="62" t="s">
        <v>208</v>
      </c>
      <c r="C38" s="49" t="s">
        <v>121</v>
      </c>
      <c r="D38" s="48">
        <v>2</v>
      </c>
      <c r="E38" s="49"/>
      <c r="F38" s="104">
        <v>1277</v>
      </c>
      <c r="G38" s="48">
        <v>2</v>
      </c>
      <c r="H38" s="49"/>
      <c r="I38" s="49" t="s">
        <v>91</v>
      </c>
      <c r="J38" s="49" t="s">
        <v>113</v>
      </c>
    </row>
    <row r="39" spans="1:10" x14ac:dyDescent="0.25">
      <c r="A39" s="48">
        <v>4</v>
      </c>
      <c r="B39" s="62" t="s">
        <v>209</v>
      </c>
      <c r="C39" s="49" t="s">
        <v>122</v>
      </c>
      <c r="D39" s="48">
        <v>2</v>
      </c>
      <c r="E39" s="49"/>
      <c r="F39" s="49"/>
      <c r="G39" s="48">
        <v>2</v>
      </c>
      <c r="H39" s="49"/>
      <c r="I39" s="49" t="s">
        <v>91</v>
      </c>
      <c r="J39" s="49" t="s">
        <v>103</v>
      </c>
    </row>
    <row r="40" spans="1:10" x14ac:dyDescent="0.25">
      <c r="A40" s="48">
        <v>5</v>
      </c>
      <c r="B40" s="62" t="s">
        <v>210</v>
      </c>
      <c r="C40" s="49" t="s">
        <v>123</v>
      </c>
      <c r="D40" s="48">
        <v>2</v>
      </c>
      <c r="E40" s="49"/>
      <c r="F40" s="49"/>
      <c r="G40" s="48">
        <v>2</v>
      </c>
      <c r="H40" s="49"/>
      <c r="I40" s="49" t="s">
        <v>91</v>
      </c>
      <c r="J40" s="49" t="s">
        <v>104</v>
      </c>
    </row>
    <row r="41" spans="1:10" x14ac:dyDescent="0.25">
      <c r="A41" s="48">
        <v>6</v>
      </c>
      <c r="B41" s="62" t="s">
        <v>211</v>
      </c>
      <c r="C41" s="49" t="s">
        <v>124</v>
      </c>
      <c r="D41" s="48">
        <v>2</v>
      </c>
      <c r="E41" s="49"/>
      <c r="F41" s="49"/>
      <c r="G41" s="48">
        <v>2</v>
      </c>
      <c r="H41" s="49"/>
      <c r="I41" s="49" t="s">
        <v>91</v>
      </c>
      <c r="J41" s="74" t="s">
        <v>188</v>
      </c>
    </row>
    <row r="42" spans="1:10" x14ac:dyDescent="0.25">
      <c r="A42" s="48">
        <v>7</v>
      </c>
      <c r="B42" s="62" t="s">
        <v>212</v>
      </c>
      <c r="C42" s="49" t="s">
        <v>125</v>
      </c>
      <c r="D42" s="48">
        <v>2</v>
      </c>
      <c r="E42" s="49"/>
      <c r="F42" s="49">
        <v>1322</v>
      </c>
      <c r="G42" s="48">
        <v>2</v>
      </c>
      <c r="H42" s="49"/>
      <c r="I42" s="49" t="s">
        <v>91</v>
      </c>
      <c r="J42" s="74" t="s">
        <v>188</v>
      </c>
    </row>
    <row r="43" spans="1:10" x14ac:dyDescent="0.25">
      <c r="A43" s="48">
        <v>8</v>
      </c>
      <c r="B43" s="62" t="s">
        <v>213</v>
      </c>
      <c r="C43" s="49" t="s">
        <v>126</v>
      </c>
      <c r="D43" s="49"/>
      <c r="E43" s="48">
        <v>2</v>
      </c>
      <c r="F43" s="48">
        <v>1399</v>
      </c>
      <c r="G43" s="49"/>
      <c r="H43" s="48">
        <v>4</v>
      </c>
      <c r="I43" s="49" t="s">
        <v>91</v>
      </c>
      <c r="J43" s="74" t="s">
        <v>189</v>
      </c>
    </row>
    <row r="44" spans="1:10" x14ac:dyDescent="0.25">
      <c r="A44" s="48">
        <v>9</v>
      </c>
      <c r="B44" s="62" t="s">
        <v>214</v>
      </c>
      <c r="C44" s="49" t="s">
        <v>127</v>
      </c>
      <c r="D44" s="49"/>
      <c r="E44" s="48">
        <v>2</v>
      </c>
      <c r="F44" s="104">
        <v>1277</v>
      </c>
      <c r="G44" s="49"/>
      <c r="H44" s="48">
        <v>4</v>
      </c>
      <c r="I44" s="49" t="s">
        <v>91</v>
      </c>
      <c r="J44" s="49" t="s">
        <v>113</v>
      </c>
    </row>
    <row r="45" spans="1:10" x14ac:dyDescent="0.25">
      <c r="A45" s="48">
        <v>10</v>
      </c>
      <c r="B45" s="62" t="s">
        <v>215</v>
      </c>
      <c r="C45" s="49" t="s">
        <v>128</v>
      </c>
      <c r="D45" s="49"/>
      <c r="E45" s="48">
        <v>2</v>
      </c>
      <c r="F45" s="103">
        <v>1322</v>
      </c>
      <c r="G45" s="49"/>
      <c r="H45" s="48">
        <v>4</v>
      </c>
      <c r="I45" s="49" t="s">
        <v>91</v>
      </c>
      <c r="J45" s="74" t="s">
        <v>189</v>
      </c>
    </row>
    <row r="46" spans="1:10" x14ac:dyDescent="0.25">
      <c r="A46" s="122" t="s">
        <v>84</v>
      </c>
      <c r="B46" s="122"/>
      <c r="C46" s="122"/>
      <c r="D46" s="50">
        <v>14</v>
      </c>
      <c r="E46" s="50">
        <v>6</v>
      </c>
      <c r="F46" s="50"/>
      <c r="G46" s="50">
        <v>14</v>
      </c>
      <c r="H46" s="50">
        <v>12</v>
      </c>
      <c r="I46" s="51"/>
      <c r="J46" s="51"/>
    </row>
    <row r="47" spans="1:10" x14ac:dyDescent="0.25">
      <c r="A47" s="2"/>
      <c r="B47" s="1"/>
      <c r="C47" s="2"/>
      <c r="D47" s="127">
        <v>20</v>
      </c>
      <c r="E47" s="127"/>
      <c r="F47" s="44"/>
      <c r="G47" s="2"/>
      <c r="H47" s="46">
        <v>26</v>
      </c>
      <c r="I47" s="45"/>
      <c r="J47" s="45"/>
    </row>
    <row r="48" spans="1:10" x14ac:dyDescent="0.25">
      <c r="A48" s="59"/>
      <c r="B48" s="60"/>
      <c r="C48" s="59"/>
      <c r="D48" s="59"/>
      <c r="E48" s="59"/>
      <c r="F48" s="59"/>
      <c r="G48" s="59"/>
      <c r="H48" s="59"/>
      <c r="I48" s="59"/>
      <c r="J48" s="59"/>
    </row>
    <row r="49" spans="1:10" x14ac:dyDescent="0.25">
      <c r="A49" s="56" t="s">
        <v>129</v>
      </c>
      <c r="B49" s="57"/>
      <c r="C49" s="58"/>
      <c r="D49" s="58"/>
      <c r="E49" s="58"/>
      <c r="F49" s="58"/>
      <c r="G49" s="58"/>
      <c r="H49" s="58"/>
      <c r="I49" s="58"/>
      <c r="J49" s="58"/>
    </row>
    <row r="50" spans="1:10" ht="15" customHeight="1" x14ac:dyDescent="0.25">
      <c r="A50" s="124" t="s">
        <v>0</v>
      </c>
      <c r="B50" s="124" t="s">
        <v>13</v>
      </c>
      <c r="C50" s="124" t="s">
        <v>14</v>
      </c>
      <c r="D50" s="125" t="s">
        <v>6</v>
      </c>
      <c r="E50" s="125"/>
      <c r="F50" s="119" t="s">
        <v>216</v>
      </c>
      <c r="G50" s="125" t="s">
        <v>15</v>
      </c>
      <c r="H50" s="125"/>
      <c r="I50" s="121" t="s">
        <v>1</v>
      </c>
      <c r="J50" s="121" t="s">
        <v>12</v>
      </c>
    </row>
    <row r="51" spans="1:10" x14ac:dyDescent="0.25">
      <c r="A51" s="124"/>
      <c r="B51" s="124"/>
      <c r="C51" s="124"/>
      <c r="D51" s="42" t="s">
        <v>2</v>
      </c>
      <c r="E51" s="42" t="s">
        <v>16</v>
      </c>
      <c r="F51" s="120"/>
      <c r="G51" s="42" t="s">
        <v>2</v>
      </c>
      <c r="H51" s="42" t="s">
        <v>16</v>
      </c>
      <c r="I51" s="121"/>
      <c r="J51" s="121"/>
    </row>
    <row r="52" spans="1:10" x14ac:dyDescent="0.25">
      <c r="A52" s="5">
        <v>1</v>
      </c>
      <c r="B52" s="61" t="s">
        <v>230</v>
      </c>
      <c r="C52" s="1" t="s">
        <v>130</v>
      </c>
      <c r="D52" s="5">
        <v>2</v>
      </c>
      <c r="E52" s="1"/>
      <c r="F52" s="1">
        <v>1355</v>
      </c>
      <c r="G52" s="5">
        <v>2</v>
      </c>
      <c r="H52" s="1"/>
      <c r="I52" s="43" t="s">
        <v>91</v>
      </c>
      <c r="J52" s="43" t="s">
        <v>150</v>
      </c>
    </row>
    <row r="53" spans="1:10" x14ac:dyDescent="0.25">
      <c r="A53" s="5">
        <v>2</v>
      </c>
      <c r="B53" s="61" t="s">
        <v>231</v>
      </c>
      <c r="C53" s="1" t="s">
        <v>131</v>
      </c>
      <c r="D53" s="5">
        <v>3</v>
      </c>
      <c r="E53" s="1"/>
      <c r="F53" s="1"/>
      <c r="G53" s="5">
        <v>3</v>
      </c>
      <c r="H53" s="1"/>
      <c r="I53" s="43" t="s">
        <v>88</v>
      </c>
      <c r="J53" s="43" t="s">
        <v>132</v>
      </c>
    </row>
    <row r="54" spans="1:10" x14ac:dyDescent="0.25">
      <c r="A54" s="5">
        <v>3</v>
      </c>
      <c r="B54" s="61" t="s">
        <v>231</v>
      </c>
      <c r="C54" s="1" t="s">
        <v>131</v>
      </c>
      <c r="D54" s="5">
        <v>3</v>
      </c>
      <c r="E54" s="1"/>
      <c r="F54" s="1"/>
      <c r="G54" s="5">
        <v>3</v>
      </c>
      <c r="H54" s="1"/>
      <c r="I54" s="43" t="s">
        <v>89</v>
      </c>
      <c r="J54" s="43" t="s">
        <v>133</v>
      </c>
    </row>
    <row r="55" spans="1:10" x14ac:dyDescent="0.25">
      <c r="A55" s="5">
        <v>4</v>
      </c>
      <c r="B55" s="61" t="s">
        <v>231</v>
      </c>
      <c r="C55" s="1" t="s">
        <v>131</v>
      </c>
      <c r="D55" s="5">
        <v>3</v>
      </c>
      <c r="E55" s="1"/>
      <c r="F55" s="1"/>
      <c r="G55" s="5">
        <v>3</v>
      </c>
      <c r="H55" s="1"/>
      <c r="I55" s="43" t="s">
        <v>90</v>
      </c>
      <c r="J55" s="43" t="s">
        <v>134</v>
      </c>
    </row>
    <row r="56" spans="1:10" x14ac:dyDescent="0.25">
      <c r="A56" s="5">
        <v>5</v>
      </c>
      <c r="B56" s="61" t="s">
        <v>152</v>
      </c>
      <c r="C56" s="1" t="s">
        <v>135</v>
      </c>
      <c r="D56" s="5">
        <v>2</v>
      </c>
      <c r="E56" s="1"/>
      <c r="F56" s="1"/>
      <c r="G56" s="5">
        <v>2</v>
      </c>
      <c r="H56" s="1"/>
      <c r="I56" s="43" t="s">
        <v>91</v>
      </c>
      <c r="J56" s="43" t="s">
        <v>149</v>
      </c>
    </row>
    <row r="57" spans="1:10" x14ac:dyDescent="0.25">
      <c r="A57" s="5">
        <v>6</v>
      </c>
      <c r="B57" s="17" t="s">
        <v>232</v>
      </c>
      <c r="C57" s="43" t="s">
        <v>136</v>
      </c>
      <c r="D57" s="11">
        <v>2</v>
      </c>
      <c r="E57" s="43"/>
      <c r="F57" s="43"/>
      <c r="G57" s="11">
        <v>2</v>
      </c>
      <c r="H57" s="43"/>
      <c r="I57" s="43" t="s">
        <v>91</v>
      </c>
      <c r="J57" s="43" t="s">
        <v>110</v>
      </c>
    </row>
    <row r="58" spans="1:10" ht="15.75" x14ac:dyDescent="0.25">
      <c r="A58" s="5">
        <v>7</v>
      </c>
      <c r="B58" s="61" t="s">
        <v>233</v>
      </c>
      <c r="C58" s="1" t="s">
        <v>137</v>
      </c>
      <c r="D58" s="14">
        <v>3</v>
      </c>
      <c r="E58" s="1"/>
      <c r="F58" s="1"/>
      <c r="G58" s="14">
        <v>3</v>
      </c>
      <c r="H58" s="1"/>
      <c r="I58" s="43" t="s">
        <v>5</v>
      </c>
      <c r="J58" s="43" t="s">
        <v>151</v>
      </c>
    </row>
    <row r="59" spans="1:10" ht="15.75" x14ac:dyDescent="0.25">
      <c r="A59" s="5">
        <v>8</v>
      </c>
      <c r="B59" s="61" t="s">
        <v>233</v>
      </c>
      <c r="C59" s="1" t="s">
        <v>137</v>
      </c>
      <c r="D59" s="14">
        <v>3</v>
      </c>
      <c r="E59" s="1"/>
      <c r="F59" s="1"/>
      <c r="G59" s="14">
        <v>3</v>
      </c>
      <c r="H59" s="1"/>
      <c r="I59" s="43" t="s">
        <v>90</v>
      </c>
      <c r="J59" s="43" t="s">
        <v>107</v>
      </c>
    </row>
    <row r="60" spans="1:10" x14ac:dyDescent="0.25">
      <c r="A60" s="5">
        <v>9</v>
      </c>
      <c r="B60" s="61" t="s">
        <v>234</v>
      </c>
      <c r="C60" s="1" t="s">
        <v>138</v>
      </c>
      <c r="D60" s="5">
        <v>3</v>
      </c>
      <c r="E60" s="1"/>
      <c r="F60" s="4">
        <v>2510</v>
      </c>
      <c r="G60" s="5">
        <v>3</v>
      </c>
      <c r="H60" s="1"/>
      <c r="I60" s="43" t="s">
        <v>88</v>
      </c>
      <c r="J60" s="43" t="s">
        <v>148</v>
      </c>
    </row>
    <row r="61" spans="1:10" ht="13.5" customHeight="1" x14ac:dyDescent="0.25">
      <c r="A61" s="5">
        <v>10</v>
      </c>
      <c r="B61" s="61" t="s">
        <v>234</v>
      </c>
      <c r="C61" s="1" t="s">
        <v>138</v>
      </c>
      <c r="D61" s="5">
        <v>3</v>
      </c>
      <c r="E61" s="1"/>
      <c r="F61" s="4">
        <v>2510</v>
      </c>
      <c r="G61" s="5">
        <v>3</v>
      </c>
      <c r="H61" s="1"/>
      <c r="I61" s="43" t="s">
        <v>89</v>
      </c>
      <c r="J61" s="43" t="s">
        <v>139</v>
      </c>
    </row>
    <row r="62" spans="1:10" x14ac:dyDescent="0.25">
      <c r="A62" s="5">
        <v>11</v>
      </c>
      <c r="B62" s="61" t="s">
        <v>234</v>
      </c>
      <c r="C62" s="1" t="s">
        <v>138</v>
      </c>
      <c r="D62" s="5">
        <v>3</v>
      </c>
      <c r="E62" s="1"/>
      <c r="F62" s="4">
        <v>2510</v>
      </c>
      <c r="G62" s="5">
        <v>3</v>
      </c>
      <c r="H62" s="1"/>
      <c r="I62" s="43" t="s">
        <v>90</v>
      </c>
      <c r="J62" s="43" t="s">
        <v>140</v>
      </c>
    </row>
    <row r="63" spans="1:10" x14ac:dyDescent="0.25">
      <c r="A63" s="5">
        <v>12</v>
      </c>
      <c r="B63" s="61" t="s">
        <v>235</v>
      </c>
      <c r="C63" s="1" t="s">
        <v>141</v>
      </c>
      <c r="D63" s="1"/>
      <c r="E63" s="5">
        <v>2</v>
      </c>
      <c r="F63" s="105">
        <v>1355</v>
      </c>
      <c r="G63" s="1"/>
      <c r="H63" s="5">
        <v>4</v>
      </c>
      <c r="I63" s="43" t="s">
        <v>91</v>
      </c>
      <c r="J63" s="43" t="s">
        <v>146</v>
      </c>
    </row>
    <row r="64" spans="1:10" x14ac:dyDescent="0.25">
      <c r="A64" s="5">
        <v>13</v>
      </c>
      <c r="B64" s="61" t="s">
        <v>236</v>
      </c>
      <c r="C64" s="1" t="s">
        <v>142</v>
      </c>
      <c r="D64" s="1"/>
      <c r="E64" s="5">
        <v>3</v>
      </c>
      <c r="F64" s="5">
        <v>2510</v>
      </c>
      <c r="G64" s="1"/>
      <c r="H64" s="5">
        <v>6</v>
      </c>
      <c r="I64" s="43" t="s">
        <v>88</v>
      </c>
      <c r="J64" s="43" t="s">
        <v>143</v>
      </c>
    </row>
    <row r="65" spans="1:10" x14ac:dyDescent="0.25">
      <c r="A65" s="5">
        <v>14</v>
      </c>
      <c r="B65" s="61" t="s">
        <v>236</v>
      </c>
      <c r="C65" s="1" t="s">
        <v>142</v>
      </c>
      <c r="D65" s="1"/>
      <c r="E65" s="5">
        <v>3</v>
      </c>
      <c r="F65" s="5">
        <v>2510</v>
      </c>
      <c r="G65" s="1"/>
      <c r="H65" s="5">
        <v>6</v>
      </c>
      <c r="I65" s="43" t="s">
        <v>89</v>
      </c>
      <c r="J65" s="43" t="s">
        <v>144</v>
      </c>
    </row>
    <row r="66" spans="1:10" x14ac:dyDescent="0.25">
      <c r="A66" s="5">
        <v>15</v>
      </c>
      <c r="B66" s="61" t="s">
        <v>236</v>
      </c>
      <c r="C66" s="1" t="s">
        <v>142</v>
      </c>
      <c r="D66" s="1"/>
      <c r="E66" s="5">
        <v>3</v>
      </c>
      <c r="F66" s="5">
        <v>2510</v>
      </c>
      <c r="G66" s="1"/>
      <c r="H66" s="5">
        <v>6</v>
      </c>
      <c r="I66" s="43" t="s">
        <v>90</v>
      </c>
      <c r="J66" s="43" t="s">
        <v>145</v>
      </c>
    </row>
    <row r="67" spans="1:10" x14ac:dyDescent="0.25">
      <c r="A67" s="128" t="s">
        <v>84</v>
      </c>
      <c r="B67" s="128"/>
      <c r="C67" s="128"/>
      <c r="D67" s="47">
        <v>15</v>
      </c>
      <c r="E67" s="47">
        <v>5</v>
      </c>
      <c r="F67" s="47"/>
      <c r="G67" s="47">
        <v>15</v>
      </c>
      <c r="H67" s="47">
        <v>10</v>
      </c>
      <c r="I67" s="45"/>
      <c r="J67" s="45"/>
    </row>
  </sheetData>
  <mergeCells count="39">
    <mergeCell ref="A67:C67"/>
    <mergeCell ref="G34:H34"/>
    <mergeCell ref="I34:I35"/>
    <mergeCell ref="J34:J35"/>
    <mergeCell ref="A46:C46"/>
    <mergeCell ref="D47:E47"/>
    <mergeCell ref="A50:A51"/>
    <mergeCell ref="B50:B51"/>
    <mergeCell ref="C50:C51"/>
    <mergeCell ref="D50:E50"/>
    <mergeCell ref="G50:H50"/>
    <mergeCell ref="A30:C30"/>
    <mergeCell ref="D31:E31"/>
    <mergeCell ref="A34:A35"/>
    <mergeCell ref="B34:B35"/>
    <mergeCell ref="C34:C35"/>
    <mergeCell ref="D34:E34"/>
    <mergeCell ref="A3:A4"/>
    <mergeCell ref="B3:B4"/>
    <mergeCell ref="C3:C4"/>
    <mergeCell ref="D3:E3"/>
    <mergeCell ref="G3:H3"/>
    <mergeCell ref="A16:C16"/>
    <mergeCell ref="D17:E17"/>
    <mergeCell ref="A20:A21"/>
    <mergeCell ref="B20:B21"/>
    <mergeCell ref="C20:C21"/>
    <mergeCell ref="D20:E20"/>
    <mergeCell ref="F3:F4"/>
    <mergeCell ref="F20:F21"/>
    <mergeCell ref="F34:F35"/>
    <mergeCell ref="F50:F51"/>
    <mergeCell ref="J3:J4"/>
    <mergeCell ref="G20:H20"/>
    <mergeCell ref="I20:I21"/>
    <mergeCell ref="J20:J21"/>
    <mergeCell ref="I3:I4"/>
    <mergeCell ref="I50:I51"/>
    <mergeCell ref="J50:J5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25E3-4AAE-4A5C-B258-0F59BEDABAF8}">
  <dimension ref="A1:L34"/>
  <sheetViews>
    <sheetView tabSelected="1" workbookViewId="0">
      <selection activeCell="A33" sqref="A33"/>
    </sheetView>
  </sheetViews>
  <sheetFormatPr defaultRowHeight="15" x14ac:dyDescent="0.25"/>
  <cols>
    <col min="3" max="3" width="33.5703125" customWidth="1"/>
    <col min="5" max="5" width="12.140625" customWidth="1"/>
    <col min="6" max="6" width="12.28515625" customWidth="1"/>
    <col min="12" max="12" width="41.5703125" customWidth="1"/>
  </cols>
  <sheetData>
    <row r="1" spans="1:12" x14ac:dyDescent="0.25">
      <c r="A1" s="64" t="s">
        <v>156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x14ac:dyDescent="0.25">
      <c r="A2" s="9" t="s">
        <v>157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21" t="s">
        <v>0</v>
      </c>
      <c r="B3" s="121" t="s">
        <v>158</v>
      </c>
      <c r="C3" s="121" t="s">
        <v>159</v>
      </c>
      <c r="D3" s="121" t="s">
        <v>160</v>
      </c>
      <c r="E3" s="121"/>
      <c r="F3" s="121"/>
      <c r="G3" s="121"/>
      <c r="H3" s="121"/>
      <c r="I3" s="121"/>
      <c r="J3" s="121"/>
      <c r="K3" s="121" t="s">
        <v>1</v>
      </c>
      <c r="L3" s="121" t="s">
        <v>12</v>
      </c>
    </row>
    <row r="4" spans="1:12" ht="25.5" x14ac:dyDescent="0.25">
      <c r="A4" s="121"/>
      <c r="B4" s="129"/>
      <c r="C4" s="129"/>
      <c r="D4" s="63" t="s">
        <v>2</v>
      </c>
      <c r="E4" s="63" t="s">
        <v>161</v>
      </c>
      <c r="F4" s="63" t="s">
        <v>216</v>
      </c>
      <c r="G4" s="63" t="s">
        <v>162</v>
      </c>
      <c r="H4" s="63" t="s">
        <v>163</v>
      </c>
      <c r="I4" s="63" t="s">
        <v>164</v>
      </c>
      <c r="J4" s="63" t="s">
        <v>165</v>
      </c>
      <c r="K4" s="121"/>
      <c r="L4" s="121"/>
    </row>
    <row r="5" spans="1:12" x14ac:dyDescent="0.25">
      <c r="A5" s="78">
        <v>1</v>
      </c>
      <c r="B5" s="142" t="s">
        <v>217</v>
      </c>
      <c r="C5" s="70" t="s">
        <v>166</v>
      </c>
      <c r="D5" s="79">
        <v>1</v>
      </c>
      <c r="E5" s="69">
        <v>2</v>
      </c>
      <c r="F5" s="69"/>
      <c r="G5" s="71">
        <v>1</v>
      </c>
      <c r="H5" s="69">
        <v>4</v>
      </c>
      <c r="I5" s="69">
        <v>3</v>
      </c>
      <c r="J5" s="69">
        <v>5</v>
      </c>
      <c r="K5" s="69" t="s">
        <v>167</v>
      </c>
      <c r="L5" s="43" t="s">
        <v>168</v>
      </c>
    </row>
    <row r="6" spans="1:12" x14ac:dyDescent="0.25">
      <c r="A6" s="78">
        <v>2</v>
      </c>
      <c r="B6" s="142" t="s">
        <v>218</v>
      </c>
      <c r="C6" s="70" t="s">
        <v>169</v>
      </c>
      <c r="D6" s="79">
        <v>3</v>
      </c>
      <c r="E6" s="69">
        <v>0</v>
      </c>
      <c r="F6" s="69"/>
      <c r="G6" s="69">
        <v>3</v>
      </c>
      <c r="H6" s="69">
        <v>0</v>
      </c>
      <c r="I6" s="69">
        <v>3</v>
      </c>
      <c r="J6" s="69">
        <v>3</v>
      </c>
      <c r="K6" s="69" t="s">
        <v>5</v>
      </c>
      <c r="L6" s="43" t="s">
        <v>170</v>
      </c>
    </row>
    <row r="7" spans="1:12" x14ac:dyDescent="0.25">
      <c r="A7" s="78">
        <v>3</v>
      </c>
      <c r="B7" s="142" t="s">
        <v>218</v>
      </c>
      <c r="C7" s="70" t="s">
        <v>169</v>
      </c>
      <c r="D7" s="79">
        <v>3</v>
      </c>
      <c r="E7" s="69">
        <v>0</v>
      </c>
      <c r="F7" s="69"/>
      <c r="G7" s="69">
        <v>3</v>
      </c>
      <c r="H7" s="69">
        <v>0</v>
      </c>
      <c r="I7" s="69">
        <v>3</v>
      </c>
      <c r="J7" s="69">
        <v>3</v>
      </c>
      <c r="K7" s="69" t="s">
        <v>171</v>
      </c>
      <c r="L7" s="43" t="s">
        <v>98</v>
      </c>
    </row>
    <row r="8" spans="1:12" x14ac:dyDescent="0.25">
      <c r="A8" s="78">
        <v>4</v>
      </c>
      <c r="B8" s="142" t="s">
        <v>219</v>
      </c>
      <c r="C8" s="70" t="s">
        <v>172</v>
      </c>
      <c r="D8" s="79">
        <v>2</v>
      </c>
      <c r="E8" s="69">
        <v>0</v>
      </c>
      <c r="F8" s="69"/>
      <c r="G8" s="69">
        <v>2</v>
      </c>
      <c r="H8" s="69">
        <v>0</v>
      </c>
      <c r="I8" s="69">
        <v>2</v>
      </c>
      <c r="J8" s="69">
        <v>2</v>
      </c>
      <c r="K8" s="69" t="s">
        <v>167</v>
      </c>
      <c r="L8" s="43" t="s">
        <v>173</v>
      </c>
    </row>
    <row r="9" spans="1:12" x14ac:dyDescent="0.25">
      <c r="A9" s="78">
        <v>6</v>
      </c>
      <c r="B9" s="142" t="s">
        <v>220</v>
      </c>
      <c r="C9" s="70" t="s">
        <v>186</v>
      </c>
      <c r="D9" s="79">
        <v>0</v>
      </c>
      <c r="E9" s="69">
        <v>2</v>
      </c>
      <c r="F9" s="69"/>
      <c r="G9" s="69">
        <v>0</v>
      </c>
      <c r="H9" s="69">
        <v>4</v>
      </c>
      <c r="I9" s="69">
        <v>2</v>
      </c>
      <c r="J9" s="69">
        <v>4</v>
      </c>
      <c r="K9" s="69" t="s">
        <v>167</v>
      </c>
      <c r="L9" s="43" t="s">
        <v>170</v>
      </c>
    </row>
    <row r="10" spans="1:12" x14ac:dyDescent="0.25">
      <c r="A10" s="78">
        <v>7</v>
      </c>
      <c r="B10" s="142" t="s">
        <v>221</v>
      </c>
      <c r="C10" s="70" t="s">
        <v>187</v>
      </c>
      <c r="D10" s="79">
        <v>3</v>
      </c>
      <c r="E10" s="69">
        <v>0</v>
      </c>
      <c r="F10" s="69"/>
      <c r="G10" s="69">
        <v>3</v>
      </c>
      <c r="H10" s="69">
        <v>0</v>
      </c>
      <c r="I10" s="69">
        <v>3</v>
      </c>
      <c r="J10" s="69">
        <v>3</v>
      </c>
      <c r="K10" s="69" t="s">
        <v>91</v>
      </c>
      <c r="L10" s="43" t="s">
        <v>175</v>
      </c>
    </row>
    <row r="11" spans="1:12" x14ac:dyDescent="0.25">
      <c r="A11" s="78">
        <v>8</v>
      </c>
      <c r="B11" s="142" t="s">
        <v>221</v>
      </c>
      <c r="C11" s="70" t="s">
        <v>187</v>
      </c>
      <c r="D11" s="79">
        <v>3</v>
      </c>
      <c r="E11" s="69">
        <v>0</v>
      </c>
      <c r="F11" s="69"/>
      <c r="G11" s="69">
        <v>3</v>
      </c>
      <c r="H11" s="69">
        <v>0</v>
      </c>
      <c r="I11" s="69">
        <v>3</v>
      </c>
      <c r="J11" s="69">
        <v>3</v>
      </c>
      <c r="K11" s="69" t="s">
        <v>190</v>
      </c>
      <c r="L11" s="43" t="s">
        <v>7</v>
      </c>
    </row>
    <row r="12" spans="1:12" x14ac:dyDescent="0.25">
      <c r="A12" s="78">
        <v>9</v>
      </c>
      <c r="B12" s="143" t="s">
        <v>222</v>
      </c>
      <c r="C12" s="80" t="s">
        <v>176</v>
      </c>
      <c r="D12" s="69">
        <v>1</v>
      </c>
      <c r="E12" s="69">
        <v>2</v>
      </c>
      <c r="F12" s="69"/>
      <c r="G12" s="69">
        <v>1</v>
      </c>
      <c r="H12" s="69">
        <v>4</v>
      </c>
      <c r="I12" s="69">
        <v>3</v>
      </c>
      <c r="J12" s="69">
        <v>5</v>
      </c>
      <c r="K12" s="69" t="s">
        <v>88</v>
      </c>
      <c r="L12" s="43" t="s">
        <v>8</v>
      </c>
    </row>
    <row r="13" spans="1:12" x14ac:dyDescent="0.25">
      <c r="A13" s="78">
        <v>10</v>
      </c>
      <c r="B13" s="77" t="s">
        <v>222</v>
      </c>
      <c r="C13" s="73" t="s">
        <v>176</v>
      </c>
      <c r="D13" s="72">
        <v>1</v>
      </c>
      <c r="E13" s="72">
        <v>2</v>
      </c>
      <c r="F13" s="72"/>
      <c r="G13" s="72">
        <v>1</v>
      </c>
      <c r="H13" s="72">
        <v>4</v>
      </c>
      <c r="I13" s="72">
        <v>3</v>
      </c>
      <c r="J13" s="72">
        <v>5</v>
      </c>
      <c r="K13" s="72" t="s">
        <v>192</v>
      </c>
      <c r="L13" s="98" t="s">
        <v>194</v>
      </c>
    </row>
    <row r="14" spans="1:12" x14ac:dyDescent="0.25">
      <c r="A14" s="78">
        <v>11</v>
      </c>
      <c r="B14" s="77" t="s">
        <v>80</v>
      </c>
      <c r="C14" s="73" t="s">
        <v>38</v>
      </c>
      <c r="D14" s="72">
        <v>2</v>
      </c>
      <c r="E14" s="72">
        <v>0</v>
      </c>
      <c r="F14" s="72"/>
      <c r="G14" s="72">
        <v>2</v>
      </c>
      <c r="H14" s="72">
        <v>0</v>
      </c>
      <c r="I14" s="72">
        <v>2</v>
      </c>
      <c r="J14" s="72">
        <v>2</v>
      </c>
      <c r="K14" s="97" t="s">
        <v>167</v>
      </c>
      <c r="L14" s="98" t="s">
        <v>93</v>
      </c>
    </row>
    <row r="15" spans="1:12" x14ac:dyDescent="0.25">
      <c r="A15" s="78">
        <v>12</v>
      </c>
      <c r="B15" s="77" t="s">
        <v>153</v>
      </c>
      <c r="C15" s="73" t="s">
        <v>117</v>
      </c>
      <c r="D15" s="72">
        <v>2</v>
      </c>
      <c r="E15" s="72">
        <v>0</v>
      </c>
      <c r="F15" s="72"/>
      <c r="G15" s="72">
        <v>2</v>
      </c>
      <c r="H15" s="72">
        <v>0</v>
      </c>
      <c r="I15" s="72">
        <v>2</v>
      </c>
      <c r="J15" s="88">
        <v>2</v>
      </c>
      <c r="K15" s="72" t="s">
        <v>171</v>
      </c>
      <c r="L15" s="74" t="s">
        <v>118</v>
      </c>
    </row>
    <row r="16" spans="1:12" x14ac:dyDescent="0.25">
      <c r="A16" s="78">
        <v>13</v>
      </c>
      <c r="B16" s="93" t="s">
        <v>153</v>
      </c>
      <c r="C16" s="94" t="s">
        <v>117</v>
      </c>
      <c r="D16" s="95">
        <v>2</v>
      </c>
      <c r="E16" s="95">
        <v>0</v>
      </c>
      <c r="F16" s="95"/>
      <c r="G16" s="95">
        <v>2</v>
      </c>
      <c r="H16" s="95">
        <v>0</v>
      </c>
      <c r="I16" s="95">
        <v>2</v>
      </c>
      <c r="J16" s="96">
        <v>2</v>
      </c>
      <c r="K16" s="95" t="s">
        <v>88</v>
      </c>
      <c r="L16" s="43" t="s">
        <v>98</v>
      </c>
    </row>
    <row r="17" spans="1:12" x14ac:dyDescent="0.25">
      <c r="A17" s="78">
        <v>14</v>
      </c>
      <c r="B17" s="93" t="s">
        <v>153</v>
      </c>
      <c r="C17" s="94" t="s">
        <v>117</v>
      </c>
      <c r="D17" s="95">
        <v>2</v>
      </c>
      <c r="E17" s="95">
        <v>0</v>
      </c>
      <c r="F17" s="95"/>
      <c r="G17" s="95">
        <v>2</v>
      </c>
      <c r="H17" s="95">
        <v>0</v>
      </c>
      <c r="I17" s="95">
        <v>2</v>
      </c>
      <c r="J17" s="96">
        <v>2</v>
      </c>
      <c r="K17" s="99" t="s">
        <v>89</v>
      </c>
      <c r="L17" s="2" t="s">
        <v>193</v>
      </c>
    </row>
    <row r="18" spans="1:12" x14ac:dyDescent="0.25">
      <c r="A18" s="131" t="s">
        <v>177</v>
      </c>
      <c r="B18" s="131"/>
      <c r="C18" s="131"/>
      <c r="D18" s="75">
        <v>14</v>
      </c>
      <c r="E18" s="75">
        <v>6</v>
      </c>
      <c r="F18" s="75"/>
      <c r="G18" s="75">
        <v>14</v>
      </c>
      <c r="H18" s="75">
        <v>12</v>
      </c>
      <c r="I18" s="75">
        <v>20</v>
      </c>
      <c r="J18" s="75">
        <v>26</v>
      </c>
      <c r="K18" s="91"/>
      <c r="L18" s="92"/>
    </row>
    <row r="19" spans="1:12" x14ac:dyDescent="0.25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</row>
    <row r="20" spans="1:12" x14ac:dyDescent="0.25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</row>
    <row r="21" spans="1:12" x14ac:dyDescent="0.25">
      <c r="A21" s="67" t="s">
        <v>178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</row>
    <row r="22" spans="1:12" x14ac:dyDescent="0.25">
      <c r="A22" s="130" t="s">
        <v>0</v>
      </c>
      <c r="B22" s="130" t="s">
        <v>158</v>
      </c>
      <c r="C22" s="130" t="s">
        <v>159</v>
      </c>
      <c r="D22" s="130" t="s">
        <v>160</v>
      </c>
      <c r="E22" s="130"/>
      <c r="F22" s="130"/>
      <c r="G22" s="130"/>
      <c r="H22" s="130"/>
      <c r="I22" s="130"/>
      <c r="J22" s="45"/>
      <c r="K22" s="130" t="s">
        <v>1</v>
      </c>
      <c r="L22" s="130" t="s">
        <v>12</v>
      </c>
    </row>
    <row r="23" spans="1:12" ht="25.5" x14ac:dyDescent="0.25">
      <c r="A23" s="130"/>
      <c r="B23" s="130"/>
      <c r="C23" s="130"/>
      <c r="D23" s="75" t="s">
        <v>2</v>
      </c>
      <c r="E23" s="75" t="s">
        <v>179</v>
      </c>
      <c r="F23" s="75" t="s">
        <v>216</v>
      </c>
      <c r="G23" s="75" t="s">
        <v>162</v>
      </c>
      <c r="H23" s="75" t="s">
        <v>163</v>
      </c>
      <c r="I23" s="75" t="s">
        <v>164</v>
      </c>
      <c r="J23" s="75" t="s">
        <v>165</v>
      </c>
      <c r="K23" s="130"/>
      <c r="L23" s="130"/>
    </row>
    <row r="24" spans="1:12" x14ac:dyDescent="0.25">
      <c r="A24" s="69">
        <v>1</v>
      </c>
      <c r="B24" s="142" t="s">
        <v>223</v>
      </c>
      <c r="C24" s="70" t="s">
        <v>180</v>
      </c>
      <c r="D24" s="69">
        <v>1</v>
      </c>
      <c r="E24" s="69">
        <v>2</v>
      </c>
      <c r="F24" s="69"/>
      <c r="G24" s="69">
        <v>1</v>
      </c>
      <c r="H24" s="69">
        <v>4</v>
      </c>
      <c r="I24" s="69">
        <v>3</v>
      </c>
      <c r="J24" s="69">
        <v>5</v>
      </c>
      <c r="K24" s="69" t="s">
        <v>167</v>
      </c>
      <c r="L24" s="43" t="s">
        <v>99</v>
      </c>
    </row>
    <row r="25" spans="1:12" x14ac:dyDescent="0.25">
      <c r="A25" s="69">
        <v>2</v>
      </c>
      <c r="B25" s="142" t="s">
        <v>224</v>
      </c>
      <c r="C25" s="70" t="s">
        <v>181</v>
      </c>
      <c r="D25" s="69">
        <v>1</v>
      </c>
      <c r="E25" s="69">
        <v>2</v>
      </c>
      <c r="F25" s="69"/>
      <c r="G25" s="69">
        <v>1</v>
      </c>
      <c r="H25" s="69">
        <v>4</v>
      </c>
      <c r="I25" s="69">
        <v>3</v>
      </c>
      <c r="J25" s="69">
        <v>5</v>
      </c>
      <c r="K25" s="69" t="s">
        <v>167</v>
      </c>
      <c r="L25" s="43" t="s">
        <v>182</v>
      </c>
    </row>
    <row r="26" spans="1:12" x14ac:dyDescent="0.25">
      <c r="A26" s="69">
        <v>3</v>
      </c>
      <c r="B26" s="142" t="s">
        <v>225</v>
      </c>
      <c r="C26" s="70" t="s">
        <v>183</v>
      </c>
      <c r="D26" s="69">
        <v>1</v>
      </c>
      <c r="E26" s="69">
        <v>2</v>
      </c>
      <c r="F26" s="69"/>
      <c r="G26" s="69">
        <v>1</v>
      </c>
      <c r="H26" s="69">
        <v>4</v>
      </c>
      <c r="I26" s="69">
        <v>3</v>
      </c>
      <c r="J26" s="69">
        <v>5</v>
      </c>
      <c r="K26" s="69" t="s">
        <v>167</v>
      </c>
      <c r="L26" s="43" t="s">
        <v>100</v>
      </c>
    </row>
    <row r="27" spans="1:12" x14ac:dyDescent="0.25">
      <c r="A27" s="69">
        <v>4</v>
      </c>
      <c r="B27" s="142" t="s">
        <v>226</v>
      </c>
      <c r="C27" s="70" t="s">
        <v>68</v>
      </c>
      <c r="D27" s="69">
        <v>2</v>
      </c>
      <c r="E27" s="69">
        <v>0</v>
      </c>
      <c r="F27" s="69"/>
      <c r="G27" s="69">
        <v>2</v>
      </c>
      <c r="H27" s="69">
        <v>0</v>
      </c>
      <c r="I27" s="69">
        <v>2</v>
      </c>
      <c r="J27" s="69">
        <v>2</v>
      </c>
      <c r="K27" s="69" t="s">
        <v>167</v>
      </c>
      <c r="L27" s="74" t="s">
        <v>191</v>
      </c>
    </row>
    <row r="28" spans="1:12" x14ac:dyDescent="0.25">
      <c r="A28" s="69">
        <v>5</v>
      </c>
      <c r="B28" s="142" t="s">
        <v>227</v>
      </c>
      <c r="C28" s="70" t="s">
        <v>184</v>
      </c>
      <c r="D28" s="69">
        <v>1</v>
      </c>
      <c r="E28" s="69">
        <v>2</v>
      </c>
      <c r="F28" s="69"/>
      <c r="G28" s="69">
        <v>1</v>
      </c>
      <c r="H28" s="69">
        <v>4</v>
      </c>
      <c r="I28" s="69">
        <v>3</v>
      </c>
      <c r="J28" s="69">
        <v>5</v>
      </c>
      <c r="K28" s="69" t="s">
        <v>167</v>
      </c>
      <c r="L28" s="43" t="s">
        <v>8</v>
      </c>
    </row>
    <row r="29" spans="1:12" x14ac:dyDescent="0.25">
      <c r="A29" s="69">
        <v>6</v>
      </c>
      <c r="B29" s="142" t="s">
        <v>228</v>
      </c>
      <c r="C29" s="70" t="s">
        <v>76</v>
      </c>
      <c r="D29" s="69">
        <v>1</v>
      </c>
      <c r="E29" s="69">
        <v>2</v>
      </c>
      <c r="F29" s="69"/>
      <c r="G29" s="69">
        <v>1</v>
      </c>
      <c r="H29" s="69">
        <v>4</v>
      </c>
      <c r="I29" s="69">
        <v>3</v>
      </c>
      <c r="J29" s="69">
        <v>5</v>
      </c>
      <c r="K29" s="69" t="s">
        <v>167</v>
      </c>
      <c r="L29" s="43" t="s">
        <v>185</v>
      </c>
    </row>
    <row r="30" spans="1:12" x14ac:dyDescent="0.25">
      <c r="A30" s="69">
        <v>7</v>
      </c>
      <c r="B30" s="142" t="s">
        <v>229</v>
      </c>
      <c r="C30" s="70" t="s">
        <v>136</v>
      </c>
      <c r="D30" s="69">
        <v>2</v>
      </c>
      <c r="E30" s="69">
        <v>0</v>
      </c>
      <c r="F30" s="69"/>
      <c r="G30" s="69">
        <v>2</v>
      </c>
      <c r="H30" s="69">
        <v>0</v>
      </c>
      <c r="I30" s="69">
        <v>2</v>
      </c>
      <c r="J30" s="69">
        <v>2</v>
      </c>
      <c r="K30" s="89" t="s">
        <v>167</v>
      </c>
      <c r="L30" s="90" t="s">
        <v>174</v>
      </c>
    </row>
    <row r="31" spans="1:12" x14ac:dyDescent="0.25">
      <c r="A31" s="72">
        <v>8</v>
      </c>
      <c r="B31" s="77" t="s">
        <v>81</v>
      </c>
      <c r="C31" s="73" t="s">
        <v>11</v>
      </c>
      <c r="D31" s="72">
        <v>2</v>
      </c>
      <c r="E31" s="72">
        <v>0</v>
      </c>
      <c r="F31" s="72"/>
      <c r="G31" s="72">
        <v>2</v>
      </c>
      <c r="H31" s="72">
        <v>0</v>
      </c>
      <c r="I31" s="72">
        <v>2</v>
      </c>
      <c r="J31" s="88">
        <v>2</v>
      </c>
      <c r="K31" s="72" t="s">
        <v>192</v>
      </c>
      <c r="L31" s="74" t="s">
        <v>92</v>
      </c>
    </row>
    <row r="32" spans="1:12" x14ac:dyDescent="0.25">
      <c r="A32" s="69">
        <v>9</v>
      </c>
      <c r="B32" s="93" t="s">
        <v>81</v>
      </c>
      <c r="C32" s="94" t="s">
        <v>11</v>
      </c>
      <c r="D32" s="95">
        <v>2</v>
      </c>
      <c r="E32" s="95">
        <v>0</v>
      </c>
      <c r="F32" s="95"/>
      <c r="G32" s="95">
        <v>2</v>
      </c>
      <c r="H32" s="95">
        <v>0</v>
      </c>
      <c r="I32" s="95">
        <v>2</v>
      </c>
      <c r="J32" s="96">
        <v>2</v>
      </c>
      <c r="K32" s="69" t="s">
        <v>88</v>
      </c>
      <c r="L32" s="43" t="s">
        <v>8</v>
      </c>
    </row>
    <row r="33" spans="1:12" x14ac:dyDescent="0.25">
      <c r="A33" s="68"/>
      <c r="B33" s="45"/>
      <c r="C33" s="45"/>
      <c r="D33" s="45"/>
      <c r="E33" s="45"/>
      <c r="F33" s="45"/>
      <c r="G33" s="45"/>
      <c r="H33" s="45"/>
      <c r="I33" s="45"/>
      <c r="J33" s="45"/>
      <c r="K33" s="91"/>
      <c r="L33" s="92"/>
    </row>
    <row r="34" spans="1:12" x14ac:dyDescent="0.25">
      <c r="A34" s="131" t="s">
        <v>177</v>
      </c>
      <c r="B34" s="131"/>
      <c r="C34" s="131"/>
      <c r="D34" s="75">
        <v>11</v>
      </c>
      <c r="E34" s="75">
        <v>10</v>
      </c>
      <c r="F34" s="75"/>
      <c r="G34" s="76">
        <v>11</v>
      </c>
      <c r="H34" s="76">
        <v>20</v>
      </c>
      <c r="I34" s="75">
        <v>21</v>
      </c>
      <c r="J34" s="75">
        <v>31</v>
      </c>
      <c r="K34" s="45"/>
      <c r="L34" s="43"/>
    </row>
  </sheetData>
  <mergeCells count="14">
    <mergeCell ref="L22:L23"/>
    <mergeCell ref="A34:C34"/>
    <mergeCell ref="A18:C18"/>
    <mergeCell ref="A22:A23"/>
    <mergeCell ref="B22:B23"/>
    <mergeCell ref="C22:C23"/>
    <mergeCell ref="D22:I22"/>
    <mergeCell ref="K22:K23"/>
    <mergeCell ref="L3:L4"/>
    <mergeCell ref="A3:A4"/>
    <mergeCell ref="B3:B4"/>
    <mergeCell ref="C3:C4"/>
    <mergeCell ref="D3:J3"/>
    <mergeCell ref="K3:K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508C-D7B6-411C-BA50-FF9952D4BE04}">
  <dimension ref="A1:Y31"/>
  <sheetViews>
    <sheetView showGridLines="0" zoomScale="85" zoomScaleNormal="85" workbookViewId="0">
      <selection activeCell="U14" sqref="U14"/>
    </sheetView>
  </sheetViews>
  <sheetFormatPr defaultRowHeight="15" x14ac:dyDescent="0.25"/>
  <cols>
    <col min="1" max="1" width="9.42578125" customWidth="1"/>
    <col min="2" max="2" width="16.7109375" bestFit="1" customWidth="1"/>
    <col min="3" max="3" width="34.28515625" customWidth="1"/>
    <col min="4" max="5" width="5.7109375" bestFit="1" customWidth="1"/>
    <col min="6" max="6" width="13.7109375" customWidth="1"/>
    <col min="7" max="8" width="5.7109375" bestFit="1" customWidth="1"/>
    <col min="9" max="9" width="6" bestFit="1" customWidth="1"/>
    <col min="10" max="10" width="36.140625" customWidth="1"/>
  </cols>
  <sheetData>
    <row r="1" spans="1:25" ht="14.25" customHeight="1" x14ac:dyDescent="0.25">
      <c r="A1" s="18" t="s">
        <v>82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15.75" x14ac:dyDescent="0.25">
      <c r="A2" s="20" t="s">
        <v>86</v>
      </c>
      <c r="B2" s="21"/>
      <c r="C2" s="21"/>
      <c r="D2" s="21"/>
      <c r="E2" s="21"/>
      <c r="F2" s="21"/>
      <c r="G2" s="21"/>
      <c r="H2" s="21"/>
      <c r="I2" s="21"/>
      <c r="J2" s="21"/>
    </row>
    <row r="3" spans="1:25" ht="15.75" x14ac:dyDescent="0.25">
      <c r="A3" s="132" t="s">
        <v>0</v>
      </c>
      <c r="B3" s="134" t="s">
        <v>13</v>
      </c>
      <c r="C3" s="132" t="s">
        <v>14</v>
      </c>
      <c r="D3" s="135" t="s">
        <v>6</v>
      </c>
      <c r="E3" s="136"/>
      <c r="F3" s="132" t="s">
        <v>216</v>
      </c>
      <c r="G3" s="135" t="s">
        <v>15</v>
      </c>
      <c r="H3" s="136"/>
      <c r="I3" s="22" t="s">
        <v>1</v>
      </c>
      <c r="J3" s="23" t="s">
        <v>83</v>
      </c>
    </row>
    <row r="4" spans="1:25" ht="15.75" x14ac:dyDescent="0.25">
      <c r="A4" s="133"/>
      <c r="B4" s="133"/>
      <c r="C4" s="133"/>
      <c r="D4" s="22" t="s">
        <v>2</v>
      </c>
      <c r="E4" s="22" t="s">
        <v>16</v>
      </c>
      <c r="F4" s="133"/>
      <c r="G4" s="83" t="s">
        <v>2</v>
      </c>
      <c r="H4" s="83" t="s">
        <v>16</v>
      </c>
      <c r="I4" s="22"/>
      <c r="J4" s="23"/>
    </row>
    <row r="5" spans="1:25" ht="15.75" x14ac:dyDescent="0.25">
      <c r="A5" s="24">
        <v>1</v>
      </c>
      <c r="B5" s="11">
        <v>1512012</v>
      </c>
      <c r="C5" s="12" t="s">
        <v>31</v>
      </c>
      <c r="D5" s="11">
        <v>1</v>
      </c>
      <c r="E5" s="81">
        <v>1</v>
      </c>
      <c r="F5" s="81"/>
      <c r="G5" s="11">
        <v>1</v>
      </c>
      <c r="H5" s="11">
        <v>2</v>
      </c>
      <c r="I5" s="82" t="s">
        <v>5</v>
      </c>
      <c r="J5" s="12" t="s">
        <v>20</v>
      </c>
    </row>
    <row r="6" spans="1:25" ht="14.25" customHeight="1" x14ac:dyDescent="0.25">
      <c r="A6" s="24">
        <v>2</v>
      </c>
      <c r="B6" s="11">
        <v>1511024</v>
      </c>
      <c r="C6" s="12" t="s">
        <v>65</v>
      </c>
      <c r="D6" s="11">
        <v>0</v>
      </c>
      <c r="E6" s="81">
        <v>4</v>
      </c>
      <c r="F6" s="81"/>
      <c r="G6" s="11">
        <v>0</v>
      </c>
      <c r="H6" s="11">
        <v>8</v>
      </c>
      <c r="I6" s="82" t="s">
        <v>5</v>
      </c>
      <c r="J6" s="12" t="s">
        <v>24</v>
      </c>
    </row>
    <row r="7" spans="1:25" ht="15.75" x14ac:dyDescent="0.25">
      <c r="A7" s="24">
        <v>3</v>
      </c>
      <c r="B7" s="17" t="s">
        <v>78</v>
      </c>
      <c r="C7" s="12" t="s">
        <v>10</v>
      </c>
      <c r="D7" s="11">
        <v>2</v>
      </c>
      <c r="E7" s="81">
        <v>1</v>
      </c>
      <c r="F7" s="81"/>
      <c r="G7" s="11">
        <v>2</v>
      </c>
      <c r="H7" s="11">
        <v>2</v>
      </c>
      <c r="I7" s="82" t="s">
        <v>5</v>
      </c>
      <c r="J7" s="102" t="s">
        <v>26</v>
      </c>
    </row>
    <row r="8" spans="1:25" ht="15.75" x14ac:dyDescent="0.25">
      <c r="A8" s="24">
        <v>4</v>
      </c>
      <c r="B8" s="11">
        <v>1512043</v>
      </c>
      <c r="C8" s="12" t="s">
        <v>66</v>
      </c>
      <c r="D8" s="11">
        <v>1</v>
      </c>
      <c r="E8" s="81">
        <v>2</v>
      </c>
      <c r="F8" s="81"/>
      <c r="G8" s="11">
        <v>1</v>
      </c>
      <c r="H8" s="11">
        <v>4</v>
      </c>
      <c r="I8" s="82" t="s">
        <v>5</v>
      </c>
      <c r="J8" s="12" t="s">
        <v>28</v>
      </c>
    </row>
    <row r="9" spans="1:25" ht="15.75" x14ac:dyDescent="0.25">
      <c r="A9" s="24">
        <v>5</v>
      </c>
      <c r="B9" s="11">
        <v>1510052</v>
      </c>
      <c r="C9" s="12" t="s">
        <v>67</v>
      </c>
      <c r="D9" s="11">
        <v>2</v>
      </c>
      <c r="E9" s="81">
        <v>0</v>
      </c>
      <c r="F9" s="81"/>
      <c r="G9" s="11">
        <v>2</v>
      </c>
      <c r="H9" s="11">
        <v>0</v>
      </c>
      <c r="I9" s="82" t="s">
        <v>5</v>
      </c>
      <c r="J9" s="12" t="s">
        <v>29</v>
      </c>
    </row>
    <row r="10" spans="1:25" ht="15.75" x14ac:dyDescent="0.25">
      <c r="A10" s="24">
        <v>6</v>
      </c>
      <c r="B10" s="17" t="s">
        <v>79</v>
      </c>
      <c r="C10" s="12" t="s">
        <v>68</v>
      </c>
      <c r="D10" s="11">
        <v>2</v>
      </c>
      <c r="E10" s="81">
        <v>0</v>
      </c>
      <c r="F10" s="81"/>
      <c r="G10" s="11">
        <v>2</v>
      </c>
      <c r="H10" s="11">
        <v>0</v>
      </c>
      <c r="I10" s="82" t="s">
        <v>5</v>
      </c>
      <c r="J10" s="12" t="s">
        <v>21</v>
      </c>
    </row>
    <row r="11" spans="1:25" ht="15.75" x14ac:dyDescent="0.25">
      <c r="A11" s="24">
        <v>7</v>
      </c>
      <c r="B11" s="17" t="s">
        <v>80</v>
      </c>
      <c r="C11" s="12" t="s">
        <v>38</v>
      </c>
      <c r="D11" s="11">
        <v>2</v>
      </c>
      <c r="E11" s="81">
        <v>0</v>
      </c>
      <c r="F11" s="81"/>
      <c r="G11" s="11">
        <v>2</v>
      </c>
      <c r="H11" s="11">
        <v>0</v>
      </c>
      <c r="I11" s="82" t="s">
        <v>5</v>
      </c>
      <c r="J11" s="101" t="s">
        <v>93</v>
      </c>
    </row>
    <row r="12" spans="1:25" ht="15.75" x14ac:dyDescent="0.25">
      <c r="A12" s="24">
        <v>8</v>
      </c>
      <c r="B12" s="17" t="s">
        <v>81</v>
      </c>
      <c r="C12" s="12" t="s">
        <v>11</v>
      </c>
      <c r="D12" s="11">
        <v>2</v>
      </c>
      <c r="E12" s="81">
        <v>0</v>
      </c>
      <c r="F12" s="81"/>
      <c r="G12" s="11">
        <v>2</v>
      </c>
      <c r="H12" s="11">
        <v>0</v>
      </c>
      <c r="I12" s="82" t="s">
        <v>5</v>
      </c>
      <c r="J12" s="74" t="s">
        <v>195</v>
      </c>
    </row>
    <row r="13" spans="1:25" ht="15.75" x14ac:dyDescent="0.25">
      <c r="A13" s="24">
        <v>11</v>
      </c>
      <c r="B13" s="25"/>
      <c r="C13" s="26"/>
      <c r="D13" s="22"/>
      <c r="E13" s="22"/>
      <c r="F13" s="84"/>
      <c r="G13" s="84"/>
      <c r="H13" s="84"/>
      <c r="I13" s="28"/>
      <c r="J13" s="27"/>
    </row>
    <row r="14" spans="1:25" ht="15.75" x14ac:dyDescent="0.25">
      <c r="A14" s="29"/>
      <c r="B14" s="30"/>
      <c r="C14" s="31"/>
      <c r="D14" s="32"/>
      <c r="E14" s="32"/>
      <c r="F14" s="32"/>
      <c r="G14" s="32"/>
      <c r="H14" s="32"/>
      <c r="I14" s="33"/>
      <c r="J14" s="34"/>
    </row>
    <row r="15" spans="1:25" ht="15.75" x14ac:dyDescent="0.25">
      <c r="A15" s="137" t="s">
        <v>84</v>
      </c>
      <c r="B15" s="138"/>
      <c r="C15" s="136"/>
      <c r="D15" s="35">
        <f t="shared" ref="D15:H15" si="0">SUM(D5:D14)</f>
        <v>12</v>
      </c>
      <c r="E15" s="35">
        <f t="shared" si="0"/>
        <v>8</v>
      </c>
      <c r="F15" s="35"/>
      <c r="G15" s="35">
        <f t="shared" si="0"/>
        <v>12</v>
      </c>
      <c r="H15" s="35">
        <f t="shared" si="0"/>
        <v>16</v>
      </c>
      <c r="I15" s="35">
        <f>SUM(G15:H15)</f>
        <v>28</v>
      </c>
      <c r="J15" s="36"/>
    </row>
    <row r="16" spans="1:25" ht="15.75" x14ac:dyDescent="0.25">
      <c r="A16" s="139" t="s">
        <v>85</v>
      </c>
      <c r="B16" s="140"/>
      <c r="C16" s="141"/>
      <c r="D16" s="37"/>
      <c r="E16" s="37"/>
      <c r="F16" s="37"/>
      <c r="G16" s="37"/>
      <c r="H16" s="37"/>
      <c r="I16" s="23"/>
      <c r="J16" s="36"/>
    </row>
    <row r="17" spans="1:10" ht="15.75" x14ac:dyDescent="0.25">
      <c r="A17" s="20" t="s">
        <v>69</v>
      </c>
      <c r="B17" s="21"/>
      <c r="C17" s="21"/>
      <c r="D17" s="21"/>
      <c r="E17" s="21"/>
      <c r="F17" s="21"/>
      <c r="G17" s="21"/>
      <c r="H17" s="21"/>
      <c r="I17" s="21"/>
      <c r="J17" s="21"/>
    </row>
    <row r="18" spans="1:10" ht="15.75" x14ac:dyDescent="0.25">
      <c r="A18" s="132" t="s">
        <v>0</v>
      </c>
      <c r="B18" s="134" t="s">
        <v>13</v>
      </c>
      <c r="C18" s="132" t="s">
        <v>14</v>
      </c>
      <c r="D18" s="135" t="s">
        <v>6</v>
      </c>
      <c r="E18" s="136"/>
      <c r="F18" s="132" t="s">
        <v>216</v>
      </c>
      <c r="G18" s="135" t="s">
        <v>15</v>
      </c>
      <c r="H18" s="136"/>
      <c r="I18" s="22" t="s">
        <v>1</v>
      </c>
      <c r="J18" s="23" t="s">
        <v>83</v>
      </c>
    </row>
    <row r="19" spans="1:10" ht="15.75" x14ac:dyDescent="0.25">
      <c r="A19" s="133"/>
      <c r="B19" s="133"/>
      <c r="C19" s="133"/>
      <c r="D19" s="22" t="s">
        <v>2</v>
      </c>
      <c r="E19" s="22" t="s">
        <v>16</v>
      </c>
      <c r="F19" s="133"/>
      <c r="G19" s="83" t="s">
        <v>2</v>
      </c>
      <c r="H19" s="83" t="s">
        <v>16</v>
      </c>
      <c r="I19" s="22"/>
      <c r="J19" s="23"/>
    </row>
    <row r="20" spans="1:10" ht="31.5" x14ac:dyDescent="0.25">
      <c r="A20" s="24">
        <v>1</v>
      </c>
      <c r="B20" s="14">
        <v>1532013</v>
      </c>
      <c r="C20" s="15" t="s">
        <v>70</v>
      </c>
      <c r="D20" s="16">
        <v>1</v>
      </c>
      <c r="E20" s="85">
        <v>2</v>
      </c>
      <c r="F20" s="85"/>
      <c r="G20" s="16">
        <v>1</v>
      </c>
      <c r="H20" s="16">
        <v>4</v>
      </c>
      <c r="I20" s="86" t="s">
        <v>5</v>
      </c>
      <c r="J20" s="12" t="s">
        <v>29</v>
      </c>
    </row>
    <row r="21" spans="1:10" ht="14.25" customHeight="1" x14ac:dyDescent="0.25">
      <c r="A21" s="24">
        <v>2</v>
      </c>
      <c r="B21" s="14">
        <v>1532023</v>
      </c>
      <c r="C21" s="15" t="s">
        <v>71</v>
      </c>
      <c r="D21" s="16">
        <v>2</v>
      </c>
      <c r="E21" s="85">
        <v>1</v>
      </c>
      <c r="F21" s="85"/>
      <c r="G21" s="16">
        <v>2</v>
      </c>
      <c r="H21" s="16">
        <v>2</v>
      </c>
      <c r="I21" s="86" t="s">
        <v>5</v>
      </c>
      <c r="J21" s="12" t="s">
        <v>28</v>
      </c>
    </row>
    <row r="22" spans="1:10" ht="15.75" x14ac:dyDescent="0.25">
      <c r="A22" s="24">
        <v>3</v>
      </c>
      <c r="B22" s="14">
        <v>1532033</v>
      </c>
      <c r="C22" s="15" t="s">
        <v>72</v>
      </c>
      <c r="D22" s="16">
        <v>1</v>
      </c>
      <c r="E22" s="85">
        <v>2</v>
      </c>
      <c r="F22" s="85"/>
      <c r="G22" s="16">
        <v>1</v>
      </c>
      <c r="H22" s="16">
        <v>4</v>
      </c>
      <c r="I22" s="86" t="s">
        <v>5</v>
      </c>
      <c r="J22" s="12" t="s">
        <v>20</v>
      </c>
    </row>
    <row r="23" spans="1:10" ht="15.75" x14ac:dyDescent="0.25">
      <c r="A23" s="24">
        <v>4</v>
      </c>
      <c r="B23" s="14">
        <v>1532043</v>
      </c>
      <c r="C23" s="15" t="s">
        <v>73</v>
      </c>
      <c r="D23" s="16">
        <v>1</v>
      </c>
      <c r="E23" s="85">
        <v>2</v>
      </c>
      <c r="F23" s="85"/>
      <c r="G23" s="16">
        <v>1</v>
      </c>
      <c r="H23" s="16">
        <v>4</v>
      </c>
      <c r="I23" s="86" t="s">
        <v>5</v>
      </c>
      <c r="J23" s="12" t="s">
        <v>20</v>
      </c>
    </row>
    <row r="24" spans="1:10" ht="15.75" x14ac:dyDescent="0.25">
      <c r="A24" s="24">
        <v>5</v>
      </c>
      <c r="B24" s="14">
        <v>1532053</v>
      </c>
      <c r="C24" s="15" t="s">
        <v>74</v>
      </c>
      <c r="D24" s="16">
        <v>1</v>
      </c>
      <c r="E24" s="85">
        <v>2</v>
      </c>
      <c r="F24" s="85"/>
      <c r="G24" s="16">
        <v>1</v>
      </c>
      <c r="H24" s="16">
        <v>4</v>
      </c>
      <c r="I24" s="86" t="s">
        <v>5</v>
      </c>
      <c r="J24" s="12" t="s">
        <v>29</v>
      </c>
    </row>
    <row r="25" spans="1:10" ht="15.75" x14ac:dyDescent="0.25">
      <c r="A25" s="24">
        <v>6</v>
      </c>
      <c r="B25" s="14">
        <v>1530062</v>
      </c>
      <c r="C25" s="15" t="s">
        <v>75</v>
      </c>
      <c r="D25" s="16">
        <v>2</v>
      </c>
      <c r="E25" s="85">
        <v>0</v>
      </c>
      <c r="F25" s="85"/>
      <c r="G25" s="16">
        <v>2</v>
      </c>
      <c r="H25" s="16">
        <v>0</v>
      </c>
      <c r="I25" s="86" t="s">
        <v>5</v>
      </c>
      <c r="J25" s="12" t="s">
        <v>28</v>
      </c>
    </row>
    <row r="26" spans="1:10" ht="31.5" x14ac:dyDescent="0.25">
      <c r="A26" s="24">
        <v>7</v>
      </c>
      <c r="B26" s="14">
        <v>1532073</v>
      </c>
      <c r="C26" s="15" t="s">
        <v>76</v>
      </c>
      <c r="D26" s="16">
        <v>1</v>
      </c>
      <c r="E26" s="85">
        <v>2</v>
      </c>
      <c r="F26" s="85"/>
      <c r="G26" s="16">
        <v>1</v>
      </c>
      <c r="H26" s="16">
        <v>4</v>
      </c>
      <c r="I26" s="86" t="s">
        <v>5</v>
      </c>
      <c r="J26" s="12" t="s">
        <v>24</v>
      </c>
    </row>
    <row r="27" spans="1:10" ht="15.75" x14ac:dyDescent="0.25">
      <c r="A27" s="24"/>
      <c r="B27" s="17"/>
      <c r="C27" s="12"/>
      <c r="D27" s="11"/>
      <c r="E27" s="11"/>
      <c r="F27" s="87"/>
      <c r="G27" s="87"/>
      <c r="H27" s="87"/>
      <c r="I27" s="11"/>
      <c r="J27" s="13"/>
    </row>
    <row r="28" spans="1:10" ht="15.75" x14ac:dyDescent="0.25">
      <c r="A28" s="24"/>
      <c r="B28" s="25"/>
      <c r="C28" s="26"/>
      <c r="D28" s="22"/>
      <c r="E28" s="22"/>
      <c r="F28" s="22"/>
      <c r="G28" s="22"/>
      <c r="H28" s="22"/>
      <c r="I28" s="28"/>
      <c r="J28" s="27"/>
    </row>
    <row r="29" spans="1:10" ht="15.75" x14ac:dyDescent="0.25">
      <c r="A29" s="29"/>
      <c r="B29" s="30"/>
      <c r="C29" s="31"/>
      <c r="D29" s="32"/>
      <c r="E29" s="32"/>
      <c r="F29" s="32"/>
      <c r="G29" s="32"/>
      <c r="H29" s="32"/>
      <c r="I29" s="33"/>
      <c r="J29" s="34"/>
    </row>
    <row r="30" spans="1:10" ht="15.75" x14ac:dyDescent="0.25">
      <c r="A30" s="137" t="s">
        <v>84</v>
      </c>
      <c r="B30" s="138"/>
      <c r="C30" s="136"/>
      <c r="D30" s="35">
        <f t="shared" ref="D30:H30" si="1">SUM(D20:D29)</f>
        <v>9</v>
      </c>
      <c r="E30" s="35">
        <f t="shared" si="1"/>
        <v>11</v>
      </c>
      <c r="F30" s="35"/>
      <c r="G30" s="35">
        <f t="shared" si="1"/>
        <v>9</v>
      </c>
      <c r="H30" s="35">
        <f t="shared" si="1"/>
        <v>22</v>
      </c>
      <c r="I30" s="35">
        <f>SUM(G30:H30)</f>
        <v>31</v>
      </c>
      <c r="J30" s="36"/>
    </row>
    <row r="31" spans="1:10" ht="15.75" x14ac:dyDescent="0.25">
      <c r="A31" s="139" t="s">
        <v>85</v>
      </c>
      <c r="B31" s="140"/>
      <c r="C31" s="141"/>
      <c r="D31" s="37"/>
      <c r="E31" s="37"/>
      <c r="F31" s="37"/>
      <c r="G31" s="37"/>
      <c r="H31" s="37"/>
      <c r="I31" s="23"/>
      <c r="J31" s="36"/>
    </row>
  </sheetData>
  <mergeCells count="16">
    <mergeCell ref="G18:H18"/>
    <mergeCell ref="A30:C30"/>
    <mergeCell ref="A31:C31"/>
    <mergeCell ref="A15:C15"/>
    <mergeCell ref="A16:C16"/>
    <mergeCell ref="A18:A19"/>
    <mergeCell ref="B18:B19"/>
    <mergeCell ref="C18:C19"/>
    <mergeCell ref="D18:E18"/>
    <mergeCell ref="F18:F19"/>
    <mergeCell ref="A3:A4"/>
    <mergeCell ref="B3:B4"/>
    <mergeCell ref="C3:C4"/>
    <mergeCell ref="D3:E3"/>
    <mergeCell ref="G3:H3"/>
    <mergeCell ref="F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TRM</vt:lpstr>
      <vt:lpstr>RKS</vt:lpstr>
      <vt:lpstr>TI</vt:lpstr>
      <vt:lpstr>TRPL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jkb_p</cp:lastModifiedBy>
  <dcterms:created xsi:type="dcterms:W3CDTF">2026-01-19T13:57:42Z</dcterms:created>
  <dcterms:modified xsi:type="dcterms:W3CDTF">2026-07-31T07:32:41Z</dcterms:modified>
</cp:coreProperties>
</file>