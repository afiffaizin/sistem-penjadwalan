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enjadwalan\sijadwal_v2\src\"/>
    </mc:Choice>
  </mc:AlternateContent>
  <xr:revisionPtr revIDLastSave="0" documentId="13_ncr:1_{45F2F22D-6D13-4439-BF18-0DF6B3B99992}" xr6:coauthVersionLast="47" xr6:coauthVersionMax="47" xr10:uidLastSave="{00000000-0000-0000-0000-000000000000}"/>
  <bookViews>
    <workbookView xWindow="768" yWindow="768" windowWidth="21600" windowHeight="11232" activeTab="2" xr2:uid="{20C8B004-8BB5-48E2-A17C-4CB5E2E767A3}"/>
  </bookViews>
  <sheets>
    <sheet name="TI" sheetId="1" r:id="rId1"/>
    <sheet name="RKS" sheetId="2" r:id="rId2"/>
    <sheet name="TRM" sheetId="4" r:id="rId3"/>
    <sheet name="TRPL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5" l="1"/>
  <c r="F17" i="5"/>
  <c r="H17" i="5" s="1"/>
  <c r="E17" i="5"/>
  <c r="D17" i="5"/>
  <c r="H45" i="2"/>
  <c r="G45" i="2"/>
  <c r="F45" i="2"/>
  <c r="E45" i="2"/>
  <c r="D45" i="2"/>
  <c r="H43" i="2"/>
  <c r="H42" i="2"/>
  <c r="H36" i="2"/>
  <c r="G36" i="2"/>
  <c r="F36" i="2"/>
  <c r="E36" i="2"/>
  <c r="D36" i="2"/>
  <c r="H34" i="2"/>
  <c r="H33" i="2"/>
  <c r="G27" i="2"/>
  <c r="F27" i="2"/>
  <c r="E27" i="2"/>
  <c r="D27" i="2"/>
  <c r="D28" i="2" s="1"/>
  <c r="H22" i="2"/>
  <c r="H21" i="2"/>
  <c r="H20" i="2"/>
  <c r="H19" i="2"/>
  <c r="H18" i="2"/>
  <c r="H17" i="2"/>
  <c r="H27" i="2" s="1"/>
  <c r="E12" i="2"/>
  <c r="D12" i="2"/>
  <c r="D13" i="2" s="1"/>
  <c r="H10" i="2"/>
  <c r="H8" i="2"/>
  <c r="H7" i="2"/>
  <c r="H12" i="2" s="1"/>
  <c r="F44" i="1"/>
  <c r="E44" i="1"/>
  <c r="D44" i="1"/>
  <c r="F33" i="1"/>
  <c r="E33" i="1"/>
  <c r="D33" i="1"/>
  <c r="E34" i="1" s="1"/>
  <c r="E15" i="1"/>
</calcChain>
</file>

<file path=xl/sharedStrings.xml><?xml version="1.0" encoding="utf-8"?>
<sst xmlns="http://schemas.openxmlformats.org/spreadsheetml/2006/main" count="415" uniqueCount="200">
  <si>
    <t>*</t>
  </si>
  <si>
    <t>Semester 2 (MBKM)</t>
  </si>
  <si>
    <t>No</t>
  </si>
  <si>
    <t>Kode MK</t>
  </si>
  <si>
    <t>Mata Kuliah</t>
  </si>
  <si>
    <t>Bobot SKS</t>
  </si>
  <si>
    <t>Kelas</t>
  </si>
  <si>
    <t>Teori</t>
  </si>
  <si>
    <t>Praktikum</t>
  </si>
  <si>
    <t>Jam Praktik/Teori</t>
  </si>
  <si>
    <t>Pemrograman Berorientasi Objek</t>
  </si>
  <si>
    <t>ABCD</t>
  </si>
  <si>
    <t>NWR</t>
  </si>
  <si>
    <t>Sistem Basis Data</t>
  </si>
  <si>
    <t>A,B</t>
  </si>
  <si>
    <t>ASP</t>
  </si>
  <si>
    <t>C,D</t>
  </si>
  <si>
    <t>KKM</t>
  </si>
  <si>
    <t>Struktur Data</t>
  </si>
  <si>
    <t>DNP</t>
  </si>
  <si>
    <t>Statistika dan Probabilitas</t>
  </si>
  <si>
    <t>ROS</t>
  </si>
  <si>
    <t>Pendidikan Agama</t>
  </si>
  <si>
    <t>ALI</t>
  </si>
  <si>
    <t>Etika Profesi dan Hukum TI</t>
  </si>
  <si>
    <t>ANG</t>
  </si>
  <si>
    <t>Sistem Operasi</t>
  </si>
  <si>
    <t>BGS</t>
  </si>
  <si>
    <t>Technopreneurship</t>
  </si>
  <si>
    <t>ABC</t>
  </si>
  <si>
    <t>MUI</t>
  </si>
  <si>
    <t>D</t>
  </si>
  <si>
    <t>RYD</t>
  </si>
  <si>
    <t>SKS</t>
  </si>
  <si>
    <t>Semester 4 (MBKM)</t>
  </si>
  <si>
    <t>Jam teori/Praktek</t>
  </si>
  <si>
    <t>Jumlah Jam</t>
  </si>
  <si>
    <t>Manajemen Proyek</t>
  </si>
  <si>
    <t>A,B,C,D</t>
  </si>
  <si>
    <t>Riyadi Purwanto, S.T., M.Eng.</t>
  </si>
  <si>
    <t>Metodologi Penelitian TI</t>
  </si>
  <si>
    <t>Muhammad Abdul Muin, M.Kom.</t>
  </si>
  <si>
    <t>Praktikum Basis Data Lanjut</t>
  </si>
  <si>
    <t>Annas Setiawan Prabowo, S.T., M.Eng.</t>
  </si>
  <si>
    <t>Etika Profesi</t>
  </si>
  <si>
    <t>Dwi Novia Prasetyanti, S.Kom., M.Cs.</t>
  </si>
  <si>
    <t>Statistika</t>
  </si>
  <si>
    <t>Laura Sari, S.Si., M.Sc.</t>
  </si>
  <si>
    <t>Praktikum Manajemen Internetworking And Security</t>
  </si>
  <si>
    <t>Andesita Prihantara, S.T., M.Eng.</t>
  </si>
  <si>
    <t>Praktikum Pemrograman Berbasis Framework</t>
  </si>
  <si>
    <t>A,B,C</t>
  </si>
  <si>
    <t>Prih Diantono Abda'u, S.Kom., M.Kom.</t>
  </si>
  <si>
    <t>Kukuh Muhammad, M.T.</t>
  </si>
  <si>
    <t>Praktikum Pemrograman Berorientasi Objek</t>
  </si>
  <si>
    <t>Nur Wahyu Rahadi, S.Kom., M.Eng.</t>
  </si>
  <si>
    <t>Praktikum Pemrograman Mobile</t>
  </si>
  <si>
    <t>Fajar Mahardika, S.Kom., M.Kom.</t>
  </si>
  <si>
    <t>Jumlah Beban Studi</t>
  </si>
  <si>
    <t>jumlah sks</t>
  </si>
  <si>
    <t>Semester 6 (Kurikulum Lama)</t>
  </si>
  <si>
    <t>Praktik</t>
  </si>
  <si>
    <t>Jam Teori</t>
  </si>
  <si>
    <t>0261352</t>
  </si>
  <si>
    <t>TIA,TIB,TIC</t>
  </si>
  <si>
    <t>TID</t>
  </si>
  <si>
    <t>02613610</t>
  </si>
  <si>
    <t>Tugas Akhir</t>
  </si>
  <si>
    <t>0241302</t>
  </si>
  <si>
    <t>Program Profesional</t>
  </si>
  <si>
    <t>Cahya Vikasari</t>
  </si>
  <si>
    <t>Rahmawan Bagus Trianto, S.Kom, M.Kom</t>
  </si>
  <si>
    <t>Program Studi D4-Rekayasa Keamanan Siber</t>
  </si>
  <si>
    <t>Semester 2 (OBE)</t>
  </si>
  <si>
    <t>lab</t>
  </si>
  <si>
    <t>Kredit</t>
  </si>
  <si>
    <t>Praktek</t>
  </si>
  <si>
    <t>0922074</t>
  </si>
  <si>
    <t>LPW</t>
  </si>
  <si>
    <t>0922084</t>
  </si>
  <si>
    <t>Jaringan Komputer</t>
  </si>
  <si>
    <t>RHM</t>
  </si>
  <si>
    <t>0920092</t>
  </si>
  <si>
    <t>Matematika Diskrit</t>
  </si>
  <si>
    <t>LS</t>
  </si>
  <si>
    <t>0920102</t>
  </si>
  <si>
    <t>Keamanan Data dan Informasi</t>
  </si>
  <si>
    <t>BAP</t>
  </si>
  <si>
    <t>0922114</t>
  </si>
  <si>
    <t>Arsitektur Keamanan</t>
  </si>
  <si>
    <t>SD</t>
  </si>
  <si>
    <t>0920122</t>
  </si>
  <si>
    <t>Etika dan Hukum Keamanan Siber</t>
  </si>
  <si>
    <t>OS</t>
  </si>
  <si>
    <t>0922134</t>
  </si>
  <si>
    <t xml:space="preserve">Pemrograman Dasar Keamanan Informasi </t>
  </si>
  <si>
    <t>R</t>
  </si>
  <si>
    <t>Jumlah</t>
  </si>
  <si>
    <t>Kode</t>
  </si>
  <si>
    <t>Matakuliah</t>
  </si>
  <si>
    <t>Jam/Minggu</t>
  </si>
  <si>
    <t>0940272</t>
  </si>
  <si>
    <t>Keamanan Basis Data</t>
  </si>
  <si>
    <t>MNF</t>
  </si>
  <si>
    <t>0940282</t>
  </si>
  <si>
    <t>Pemrograman Keamanan Web</t>
  </si>
  <si>
    <t>ARS</t>
  </si>
  <si>
    <t>0940292</t>
  </si>
  <si>
    <t>Probabilitas dan Statistika</t>
  </si>
  <si>
    <t>0000042</t>
  </si>
  <si>
    <t>Kewarganegaraan</t>
  </si>
  <si>
    <t>0000012</t>
  </si>
  <si>
    <t>Agama</t>
  </si>
  <si>
    <t>0940302</t>
  </si>
  <si>
    <t>Pemrograman Perangkat Bergerak</t>
  </si>
  <si>
    <t>KNQ</t>
  </si>
  <si>
    <t>0941312</t>
  </si>
  <si>
    <t>Prak. Keamanan Basis Data</t>
  </si>
  <si>
    <t>0941322</t>
  </si>
  <si>
    <t>Prak. Pemrograman Keamanan Web</t>
  </si>
  <si>
    <t>0941332</t>
  </si>
  <si>
    <t>Prak. Pemrograman Perangkat Bergerak</t>
  </si>
  <si>
    <t>0941342</t>
  </si>
  <si>
    <t>Komunikasi Bahasa Inggris</t>
  </si>
  <si>
    <t>LILI</t>
  </si>
  <si>
    <t>Semester 6</t>
  </si>
  <si>
    <t>Dosen</t>
  </si>
  <si>
    <t>09614420</t>
  </si>
  <si>
    <t>Magang Industri</t>
  </si>
  <si>
    <t>TIM</t>
  </si>
  <si>
    <t>0961453</t>
  </si>
  <si>
    <t>Proyek Keamanan Siber</t>
  </si>
  <si>
    <t>Semester 8</t>
  </si>
  <si>
    <t>0981556</t>
  </si>
  <si>
    <t>0980562</t>
  </si>
  <si>
    <t>Bahasa Inggris Dunia Kerja</t>
  </si>
  <si>
    <t>AR</t>
  </si>
  <si>
    <t>Nama</t>
  </si>
  <si>
    <t>Kewirausahaan</t>
  </si>
  <si>
    <t>TRM</t>
  </si>
  <si>
    <t>Program Studi D4-TRM</t>
  </si>
  <si>
    <t>Kurikulum 2025</t>
  </si>
  <si>
    <t>Kode Matakuliah</t>
  </si>
  <si>
    <t>Nama Matakuliah</t>
  </si>
  <si>
    <t>Jam</t>
  </si>
  <si>
    <t>Prakt</t>
  </si>
  <si>
    <t>Aljabar Linier</t>
  </si>
  <si>
    <t>Rostika Listyaningrum, S.Si., M.Si.</t>
  </si>
  <si>
    <t>Interaksi Manusia dan Komputer</t>
  </si>
  <si>
    <t>Santi Purwaningrum, S.Kom., M.Kom.</t>
  </si>
  <si>
    <t>Pemodelan 3D Berbasis Aset</t>
  </si>
  <si>
    <t>Agus Susanto, S.Kom., M.Kom.</t>
  </si>
  <si>
    <t>Komputer Grafis</t>
  </si>
  <si>
    <t>Algoritma dan Struktur Data</t>
  </si>
  <si>
    <t>Nur Muniroh, S.T., M.Kom.</t>
  </si>
  <si>
    <t>Fotografi</t>
  </si>
  <si>
    <t>Nur Wachid Adi Prasetya, S.Kom., M.Kom.</t>
  </si>
  <si>
    <t>Dr. Sudarto, Lc., M.Pi.</t>
  </si>
  <si>
    <t>Adlan Nugroho, M.T.I</t>
  </si>
  <si>
    <t>Total</t>
  </si>
  <si>
    <t>Kurikulum 2023</t>
  </si>
  <si>
    <t>Jurnalistik</t>
  </si>
  <si>
    <t>Annisa Romadloni, S.Hum., M.A.</t>
  </si>
  <si>
    <t>Broadcasting</t>
  </si>
  <si>
    <t>Isa Bahroni, S.Kom, M.Eng</t>
  </si>
  <si>
    <t>Videografi</t>
  </si>
  <si>
    <t>Dede Yusuf, S.Kom., M.Kom.</t>
  </si>
  <si>
    <t>Pemodelan 3D</t>
  </si>
  <si>
    <t>Antonius Agung Hartono, S.T., M.Eng.</t>
  </si>
  <si>
    <t>Praktikum Jaringan Komputer</t>
  </si>
  <si>
    <t>Desain UI/UX</t>
  </si>
  <si>
    <t>Fredi Setyono, S.E., M.E.</t>
  </si>
  <si>
    <t>Bahasa Inggris Lanjut</t>
  </si>
  <si>
    <t>Antonius Agung Hartono, S.T., M.Eng. (A)
Joko Purwanto, S.T, M.Kom (B,C)</t>
  </si>
  <si>
    <t>Augmented Reality</t>
  </si>
  <si>
    <t>Angga Maulana Purba, S.Kom.,M.Cs.</t>
  </si>
  <si>
    <t>Virtual Reality</t>
  </si>
  <si>
    <t>Periklanan Digital</t>
  </si>
  <si>
    <t>Alfarisi Akbar Efendi, S.E., M.Akt.</t>
  </si>
  <si>
    <t>Kecerdasan Buatan</t>
  </si>
  <si>
    <t>Adlan Nugroho</t>
  </si>
  <si>
    <t>Pemrograman Web</t>
  </si>
  <si>
    <t>Mizan Ahmad, S.Si., M.Sc.</t>
  </si>
  <si>
    <t>Kesehatan dan Keselamatan Kerja (K3)</t>
  </si>
  <si>
    <t>Teknik Supervisi</t>
  </si>
  <si>
    <t>Annas Setiawan Prabowo, S.T., M.Eng. (A), 
Isa Bahroni, S.Kom, M.Eng (B)</t>
  </si>
  <si>
    <t>Proposal Penelitian</t>
  </si>
  <si>
    <t>Prodi</t>
  </si>
  <si>
    <t>TRPL</t>
  </si>
  <si>
    <t>TI</t>
  </si>
  <si>
    <t>ALKS</t>
  </si>
  <si>
    <t>luar</t>
  </si>
  <si>
    <t>Program Studi D4-TRPL</t>
  </si>
  <si>
    <t xml:space="preserve">Semester 2 </t>
  </si>
  <si>
    <t>Basis Data</t>
  </si>
  <si>
    <t>Lutfi Syafirullah, S.T. M.Kom.</t>
  </si>
  <si>
    <t>Rekayasa Perangkat Lunak</t>
  </si>
  <si>
    <t>Joko Purwanto, S.T, M.Kom</t>
  </si>
  <si>
    <t>0000022</t>
  </si>
  <si>
    <t>Bahasa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</si>
</sst>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000000"/>
      <name val="Arial"/>
    </font>
    <font>
      <sz val="11"/>
      <name val="Calibri"/>
    </font>
    <font>
      <sz val="11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1"/>
      <color rgb="FF000000"/>
      <name val="Calibri"/>
    </font>
    <font>
      <sz val="11"/>
      <color rgb="FF00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FFFF00"/>
      <name val="Calibri"/>
    </font>
    <font>
      <b/>
      <sz val="11"/>
      <color theme="1"/>
      <name val="Calibri"/>
      <scheme val="minor"/>
    </font>
    <font>
      <b/>
      <sz val="16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757070"/>
        <bgColor rgb="FF75707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3F3F3"/>
        <bgColor rgb="FFF3F3F3"/>
      </patternFill>
    </fill>
    <fill>
      <patternFill patternType="solid">
        <fgColor rgb="FF00A7E2"/>
        <bgColor rgb="FF00A7E2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9FC5E8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4" borderId="6" xfId="0" applyFont="1" applyFill="1" applyBorder="1"/>
    <xf numFmtId="0" fontId="3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/>
    <xf numFmtId="0" fontId="6" fillId="5" borderId="8" xfId="0" applyFont="1" applyFill="1" applyBorder="1" applyAlignment="1">
      <alignment horizontal="right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4" borderId="7" xfId="0" applyFont="1" applyFill="1" applyBorder="1"/>
    <xf numFmtId="0" fontId="1" fillId="4" borderId="8" xfId="0" applyFont="1" applyFill="1" applyBorder="1"/>
    <xf numFmtId="0" fontId="7" fillId="5" borderId="8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/>
    </xf>
    <xf numFmtId="0" fontId="1" fillId="4" borderId="0" xfId="0" applyFont="1" applyFill="1"/>
    <xf numFmtId="0" fontId="6" fillId="7" borderId="8" xfId="0" applyFont="1" applyFill="1" applyBorder="1" applyAlignment="1">
      <alignment horizontal="center" vertical="center" wrapText="1"/>
    </xf>
    <xf numFmtId="0" fontId="5" fillId="4" borderId="8" xfId="0" applyFont="1" applyFill="1" applyBorder="1"/>
    <xf numFmtId="0" fontId="1" fillId="0" borderId="0" xfId="0" applyFont="1"/>
    <xf numFmtId="0" fontId="5" fillId="0" borderId="6" xfId="0" applyFont="1" applyBorder="1"/>
    <xf numFmtId="0" fontId="5" fillId="0" borderId="9" xfId="0" applyFont="1" applyBorder="1"/>
    <xf numFmtId="0" fontId="6" fillId="4" borderId="8" xfId="0" applyFont="1" applyFill="1" applyBorder="1" applyAlignment="1">
      <alignment horizontal="right" vertical="center" wrapText="1"/>
    </xf>
    <xf numFmtId="0" fontId="10" fillId="4" borderId="8" xfId="0" applyFont="1" applyFill="1" applyBorder="1" applyAlignment="1">
      <alignment horizontal="center"/>
    </xf>
    <xf numFmtId="0" fontId="10" fillId="4" borderId="8" xfId="0" applyFont="1" applyFill="1" applyBorder="1"/>
    <xf numFmtId="0" fontId="10" fillId="0" borderId="8" xfId="0" applyFont="1" applyBorder="1" applyAlignment="1">
      <alignment horizontal="center"/>
    </xf>
    <xf numFmtId="0" fontId="9" fillId="0" borderId="7" xfId="0" applyFont="1" applyBorder="1"/>
    <xf numFmtId="0" fontId="1" fillId="5" borderId="0" xfId="0" applyFont="1" applyFill="1"/>
    <xf numFmtId="0" fontId="9" fillId="0" borderId="8" xfId="0" applyFont="1" applyBorder="1"/>
    <xf numFmtId="0" fontId="7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6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/>
    <xf numFmtId="0" fontId="2" fillId="0" borderId="10" xfId="0" applyFont="1" applyBorder="1"/>
    <xf numFmtId="0" fontId="1" fillId="0" borderId="10" xfId="0" applyFont="1" applyBorder="1"/>
    <xf numFmtId="0" fontId="1" fillId="5" borderId="6" xfId="0" applyFont="1" applyFill="1" applyBorder="1"/>
    <xf numFmtId="0" fontId="3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/>
    <xf numFmtId="0" fontId="3" fillId="4" borderId="8" xfId="0" applyFont="1" applyFill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wrapText="1"/>
    </xf>
    <xf numFmtId="0" fontId="10" fillId="0" borderId="8" xfId="0" applyFont="1" applyBorder="1" applyAlignment="1">
      <alignment horizontal="left" wrapText="1"/>
    </xf>
    <xf numFmtId="0" fontId="12" fillId="4" borderId="8" xfId="0" applyFont="1" applyFill="1" applyBorder="1"/>
    <xf numFmtId="0" fontId="10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wrapText="1"/>
    </xf>
    <xf numFmtId="0" fontId="1" fillId="5" borderId="8" xfId="0" applyFont="1" applyFill="1" applyBorder="1" applyAlignment="1">
      <alignment horizontal="center"/>
    </xf>
    <xf numFmtId="0" fontId="1" fillId="5" borderId="8" xfId="0" applyFont="1" applyFill="1" applyBorder="1"/>
    <xf numFmtId="0" fontId="1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13" fillId="8" borderId="0" xfId="0" applyNumberFormat="1" applyFont="1" applyFill="1"/>
    <xf numFmtId="0" fontId="11" fillId="8" borderId="0" xfId="0" applyFont="1" applyFill="1"/>
    <xf numFmtId="0" fontId="5" fillId="0" borderId="0" xfId="0" applyFont="1"/>
    <xf numFmtId="0" fontId="1" fillId="10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wrapText="1"/>
    </xf>
    <xf numFmtId="49" fontId="1" fillId="0" borderId="13" xfId="0" quotePrefix="1" applyNumberFormat="1" applyFont="1" applyBorder="1" applyAlignment="1">
      <alignment horizontal="center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49" fontId="1" fillId="0" borderId="14" xfId="0" quotePrefix="1" applyNumberFormat="1" applyFont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1" fillId="0" borderId="8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8" xfId="0" applyFont="1" applyFill="1" applyBorder="1"/>
    <xf numFmtId="0" fontId="9" fillId="4" borderId="0" xfId="0" applyFont="1" applyFill="1"/>
    <xf numFmtId="0" fontId="2" fillId="0" borderId="11" xfId="0" applyFont="1" applyBorder="1" applyAlignment="1">
      <alignment horizontal="center"/>
    </xf>
    <xf numFmtId="0" fontId="15" fillId="12" borderId="8" xfId="0" applyFont="1" applyFill="1" applyBorder="1"/>
    <xf numFmtId="0" fontId="1" fillId="12" borderId="8" xfId="0" applyFont="1" applyFill="1" applyBorder="1"/>
    <xf numFmtId="0" fontId="1" fillId="10" borderId="8" xfId="0" applyFont="1" applyFill="1" applyBorder="1" applyAlignment="1">
      <alignment horizontal="center"/>
    </xf>
    <xf numFmtId="0" fontId="9" fillId="0" borderId="8" xfId="0" quotePrefix="1" applyFont="1" applyBorder="1" applyAlignment="1">
      <alignment horizontal="center"/>
    </xf>
    <xf numFmtId="0" fontId="1" fillId="13" borderId="8" xfId="0" applyFont="1" applyFill="1" applyBorder="1"/>
    <xf numFmtId="0" fontId="1" fillId="1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/>
    <xf numFmtId="0" fontId="17" fillId="14" borderId="0" xfId="0" applyFont="1" applyFill="1"/>
    <xf numFmtId="0" fontId="18" fillId="14" borderId="0" xfId="0" applyFont="1" applyFill="1"/>
    <xf numFmtId="0" fontId="19" fillId="0" borderId="0" xfId="0" applyFont="1"/>
    <xf numFmtId="0" fontId="20" fillId="0" borderId="0" xfId="0" applyFont="1"/>
    <xf numFmtId="0" fontId="21" fillId="4" borderId="8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16" fillId="0" borderId="8" xfId="0" applyFont="1" applyBorder="1"/>
    <xf numFmtId="0" fontId="16" fillId="15" borderId="8" xfId="0" applyFont="1" applyFill="1" applyBorder="1"/>
    <xf numFmtId="0" fontId="16" fillId="0" borderId="11" xfId="0" quotePrefix="1" applyFont="1" applyBorder="1" applyAlignment="1">
      <alignment horizontal="center"/>
    </xf>
    <xf numFmtId="0" fontId="21" fillId="5" borderId="8" xfId="0" applyFont="1" applyFill="1" applyBorder="1"/>
    <xf numFmtId="0" fontId="16" fillId="2" borderId="7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11" xfId="0" applyFont="1" applyFill="1" applyBorder="1"/>
    <xf numFmtId="0" fontId="21" fillId="2" borderId="8" xfId="0" applyFont="1" applyFill="1" applyBorder="1" applyAlignment="1">
      <alignment horizontal="center"/>
    </xf>
    <xf numFmtId="0" fontId="21" fillId="2" borderId="8" xfId="0" applyFont="1" applyFill="1" applyBorder="1"/>
    <xf numFmtId="0" fontId="16" fillId="2" borderId="8" xfId="0" applyFont="1" applyFill="1" applyBorder="1"/>
    <xf numFmtId="0" fontId="19" fillId="0" borderId="8" xfId="0" applyFont="1" applyBorder="1" applyAlignment="1">
      <alignment horizontal="center"/>
    </xf>
    <xf numFmtId="0" fontId="21" fillId="0" borderId="8" xfId="0" applyFont="1" applyBorder="1"/>
    <xf numFmtId="0" fontId="21" fillId="0" borderId="7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6" fillId="0" borderId="9" xfId="0" applyFont="1" applyBorder="1" applyAlignment="1">
      <alignment horizontal="left" vertical="center" wrapText="1"/>
    </xf>
    <xf numFmtId="0" fontId="4" fillId="0" borderId="10" xfId="0" applyFont="1" applyBorder="1"/>
    <xf numFmtId="0" fontId="4" fillId="0" borderId="1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21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6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6" fillId="5" borderId="2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21" fillId="4" borderId="1" xfId="0" applyFont="1" applyFill="1" applyBorder="1" applyAlignment="1">
      <alignment horizontal="center" vertical="center" wrapText="1"/>
    </xf>
    <xf numFmtId="0" fontId="24" fillId="16" borderId="15" xfId="0" applyFont="1" applyFill="1" applyBorder="1" applyAlignment="1">
      <alignment vertical="center"/>
    </xf>
    <xf numFmtId="0" fontId="0" fillId="16" borderId="15" xfId="0" applyFill="1" applyBorder="1" applyAlignment="1">
      <alignment wrapText="1"/>
    </xf>
    <xf numFmtId="0" fontId="22" fillId="16" borderId="15" xfId="0" applyFont="1" applyFill="1" applyBorder="1" applyAlignment="1">
      <alignment horizontal="right" wrapText="1"/>
    </xf>
    <xf numFmtId="0" fontId="23" fillId="0" borderId="16" xfId="0" applyFont="1" applyBorder="1" applyAlignment="1">
      <alignment vertical="center"/>
    </xf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0" fontId="0" fillId="17" borderId="14" xfId="0" applyFill="1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17" borderId="14" xfId="0" applyFill="1" applyBorder="1" applyAlignment="1">
      <alignment wrapText="1"/>
    </xf>
    <xf numFmtId="0" fontId="25" fillId="0" borderId="17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25" fillId="0" borderId="14" xfId="0" applyFont="1" applyBorder="1" applyAlignment="1">
      <alignment wrapText="1"/>
    </xf>
    <xf numFmtId="0" fontId="0" fillId="0" borderId="17" xfId="0" applyBorder="1" applyAlignment="1">
      <alignment wrapText="1"/>
    </xf>
    <xf numFmtId="0" fontId="23" fillId="0" borderId="14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6" fillId="0" borderId="14" xfId="0" applyFont="1" applyBorder="1" applyAlignment="1">
      <alignment horizontal="center" wrapText="1"/>
    </xf>
    <xf numFmtId="0" fontId="26" fillId="0" borderId="14" xfId="0" applyFont="1" applyBorder="1" applyAlignment="1">
      <alignment wrapText="1"/>
    </xf>
    <xf numFmtId="0" fontId="26" fillId="0" borderId="17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6" fillId="0" borderId="14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26" fillId="0" borderId="14" xfId="0" applyFont="1" applyBorder="1" applyAlignment="1">
      <alignment vertical="top" wrapText="1"/>
    </xf>
    <xf numFmtId="0" fontId="0" fillId="17" borderId="14" xfId="0" applyFill="1" applyBorder="1" applyAlignment="1">
      <alignment horizontal="center" vertical="top" wrapText="1"/>
    </xf>
    <xf numFmtId="0" fontId="23" fillId="0" borderId="15" xfId="0" applyFont="1" applyBorder="1" applyAlignment="1">
      <alignment wrapText="1"/>
    </xf>
    <xf numFmtId="0" fontId="0" fillId="18" borderId="15" xfId="0" applyFill="1" applyBorder="1" applyAlignment="1">
      <alignment wrapText="1"/>
    </xf>
    <xf numFmtId="0" fontId="0" fillId="19" borderId="15" xfId="0" applyFill="1" applyBorder="1" applyAlignment="1">
      <alignment wrapText="1"/>
    </xf>
    <xf numFmtId="0" fontId="0" fillId="20" borderId="15" xfId="0" applyFill="1" applyBorder="1" applyAlignment="1">
      <alignment wrapText="1"/>
    </xf>
    <xf numFmtId="0" fontId="0" fillId="21" borderId="15" xfId="0" applyFill="1" applyBorder="1" applyAlignment="1">
      <alignment wrapText="1"/>
    </xf>
    <xf numFmtId="0" fontId="0" fillId="22" borderId="15" xfId="0" applyFill="1" applyBorder="1" applyAlignment="1">
      <alignment wrapText="1"/>
    </xf>
    <xf numFmtId="0" fontId="0" fillId="23" borderId="15" xfId="0" applyFill="1" applyBorder="1" applyAlignment="1">
      <alignment wrapText="1"/>
    </xf>
    <xf numFmtId="0" fontId="0" fillId="17" borderId="19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20" xfId="0" applyFill="1" applyBorder="1" applyAlignment="1">
      <alignment horizontal="center" wrapText="1"/>
    </xf>
    <xf numFmtId="0" fontId="0" fillId="17" borderId="21" xfId="0" applyFill="1" applyBorder="1" applyAlignment="1">
      <alignment horizont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3AA2-06C3-4296-8832-8ACEF245125D}">
  <dimension ref="A1:V995"/>
  <sheetViews>
    <sheetView workbookViewId="0">
      <selection activeCell="D3" sqref="D3:F3"/>
    </sheetView>
  </sheetViews>
  <sheetFormatPr defaultColWidth="14.44140625" defaultRowHeight="14.4"/>
  <cols>
    <col min="1" max="1" width="8.6640625" customWidth="1"/>
    <col min="2" max="2" width="9.44140625" customWidth="1"/>
    <col min="3" max="3" width="49.44140625" customWidth="1"/>
    <col min="4" max="4" width="11.33203125" customWidth="1"/>
    <col min="5" max="5" width="11" customWidth="1"/>
    <col min="6" max="6" width="12.88671875" hidden="1" customWidth="1"/>
    <col min="7" max="7" width="15.5546875" customWidth="1"/>
    <col min="8" max="8" width="36" customWidth="1"/>
    <col min="9" max="22" width="8.6640625" customWidth="1"/>
  </cols>
  <sheetData>
    <row r="1" spans="1:22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>
      <c r="A2" s="2" t="s">
        <v>1</v>
      </c>
    </row>
    <row r="3" spans="1:22" ht="14.25" customHeight="1">
      <c r="A3" s="119" t="s">
        <v>2</v>
      </c>
      <c r="B3" s="119" t="s">
        <v>3</v>
      </c>
      <c r="C3" s="121" t="s">
        <v>143</v>
      </c>
      <c r="D3" s="122" t="s">
        <v>33</v>
      </c>
      <c r="E3" s="123"/>
      <c r="F3" s="123"/>
      <c r="G3" s="114" t="s">
        <v>6</v>
      </c>
      <c r="H3" s="3"/>
    </row>
    <row r="4" spans="1:22" ht="14.25" customHeight="1">
      <c r="A4" s="120"/>
      <c r="B4" s="120"/>
      <c r="C4" s="120"/>
      <c r="D4" s="4" t="s">
        <v>7</v>
      </c>
      <c r="E4" s="4" t="s">
        <v>8</v>
      </c>
      <c r="F4" s="4" t="s">
        <v>9</v>
      </c>
      <c r="G4" s="115"/>
      <c r="H4" s="5"/>
    </row>
    <row r="5" spans="1:22" ht="14.25" customHeight="1">
      <c r="A5" s="6">
        <v>1</v>
      </c>
      <c r="B5" s="7"/>
      <c r="C5" s="8" t="s">
        <v>10</v>
      </c>
      <c r="D5" s="7">
        <v>1</v>
      </c>
      <c r="E5" s="9">
        <v>2</v>
      </c>
      <c r="F5" s="9"/>
      <c r="G5" s="10" t="s">
        <v>11</v>
      </c>
      <c r="H5" s="11" t="s">
        <v>12</v>
      </c>
    </row>
    <row r="6" spans="1:22" ht="14.25" customHeight="1">
      <c r="A6" s="6">
        <v>2</v>
      </c>
      <c r="B6" s="7"/>
      <c r="C6" s="8" t="s">
        <v>13</v>
      </c>
      <c r="D6" s="7">
        <v>1</v>
      </c>
      <c r="E6" s="9">
        <v>2</v>
      </c>
      <c r="F6" s="9"/>
      <c r="G6" s="10" t="s">
        <v>14</v>
      </c>
      <c r="H6" s="12" t="s">
        <v>15</v>
      </c>
    </row>
    <row r="7" spans="1:22" ht="14.25" customHeight="1">
      <c r="A7" s="6"/>
      <c r="B7" s="7"/>
      <c r="C7" s="8"/>
      <c r="D7" s="7"/>
      <c r="E7" s="9"/>
      <c r="F7" s="9"/>
      <c r="G7" s="10" t="s">
        <v>16</v>
      </c>
      <c r="H7" s="12" t="s">
        <v>17</v>
      </c>
    </row>
    <row r="8" spans="1:22" ht="14.25" customHeight="1">
      <c r="A8" s="6">
        <v>3</v>
      </c>
      <c r="B8" s="7"/>
      <c r="C8" s="8" t="s">
        <v>18</v>
      </c>
      <c r="D8" s="7">
        <v>1</v>
      </c>
      <c r="E8" s="9">
        <v>2</v>
      </c>
      <c r="F8" s="9"/>
      <c r="G8" s="10" t="s">
        <v>11</v>
      </c>
      <c r="H8" s="12" t="s">
        <v>19</v>
      </c>
    </row>
    <row r="9" spans="1:22" ht="14.25" customHeight="1">
      <c r="A9" s="6">
        <v>4</v>
      </c>
      <c r="B9" s="7"/>
      <c r="C9" s="8" t="s">
        <v>20</v>
      </c>
      <c r="D9" s="7">
        <v>2</v>
      </c>
      <c r="E9" s="9">
        <v>0</v>
      </c>
      <c r="F9" s="9"/>
      <c r="G9" s="10" t="s">
        <v>11</v>
      </c>
      <c r="H9" s="12" t="s">
        <v>21</v>
      </c>
    </row>
    <row r="10" spans="1:22" ht="14.25" customHeight="1">
      <c r="A10" s="6">
        <v>5</v>
      </c>
      <c r="B10" s="7"/>
      <c r="C10" s="13" t="s">
        <v>22</v>
      </c>
      <c r="D10" s="7">
        <v>2</v>
      </c>
      <c r="E10" s="9">
        <v>0</v>
      </c>
      <c r="F10" s="9"/>
      <c r="G10" s="10" t="s">
        <v>11</v>
      </c>
      <c r="H10" s="12" t="s">
        <v>23</v>
      </c>
    </row>
    <row r="11" spans="1:22" ht="14.25" customHeight="1">
      <c r="A11" s="6">
        <v>6</v>
      </c>
      <c r="B11" s="7"/>
      <c r="C11" s="8" t="s">
        <v>24</v>
      </c>
      <c r="D11" s="7">
        <v>2</v>
      </c>
      <c r="E11" s="9">
        <v>0</v>
      </c>
      <c r="F11" s="9"/>
      <c r="G11" s="10" t="s">
        <v>11</v>
      </c>
      <c r="H11" s="12" t="s">
        <v>25</v>
      </c>
    </row>
    <row r="12" spans="1:22" ht="14.25" customHeight="1">
      <c r="A12" s="6">
        <v>7</v>
      </c>
      <c r="B12" s="7"/>
      <c r="C12" s="8" t="s">
        <v>26</v>
      </c>
      <c r="D12" s="7">
        <v>1</v>
      </c>
      <c r="E12" s="9">
        <v>2</v>
      </c>
      <c r="F12" s="9"/>
      <c r="G12" s="10" t="s">
        <v>11</v>
      </c>
      <c r="H12" s="12" t="s">
        <v>27</v>
      </c>
    </row>
    <row r="13" spans="1:22" ht="14.25" customHeight="1">
      <c r="A13" s="6">
        <v>8</v>
      </c>
      <c r="B13" s="14"/>
      <c r="C13" s="15" t="s">
        <v>28</v>
      </c>
      <c r="D13" s="14">
        <v>2</v>
      </c>
      <c r="E13" s="16">
        <v>0</v>
      </c>
      <c r="F13" s="16"/>
      <c r="G13" s="16" t="s">
        <v>29</v>
      </c>
      <c r="H13" s="17" t="s">
        <v>30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4.25" customHeight="1">
      <c r="A14" s="124"/>
      <c r="B14" s="123"/>
      <c r="C14" s="125"/>
      <c r="D14" s="10"/>
      <c r="E14" s="10"/>
      <c r="F14" s="19"/>
      <c r="G14" s="10" t="s">
        <v>31</v>
      </c>
      <c r="H14" s="20" t="s">
        <v>32</v>
      </c>
    </row>
    <row r="15" spans="1:22" ht="14.25" customHeight="1">
      <c r="D15" s="21" t="s">
        <v>33</v>
      </c>
      <c r="E15" s="21">
        <f>SUM(D5:E13)</f>
        <v>20</v>
      </c>
    </row>
    <row r="16" spans="1:22" ht="14.25" customHeight="1"/>
    <row r="17" spans="1:22" ht="14.25" customHeight="1">
      <c r="A17" s="2" t="s">
        <v>34</v>
      </c>
    </row>
    <row r="18" spans="1:22" ht="14.25" customHeight="1">
      <c r="A18" s="119" t="s">
        <v>2</v>
      </c>
      <c r="B18" s="119" t="s">
        <v>3</v>
      </c>
      <c r="C18" s="119" t="s">
        <v>4</v>
      </c>
      <c r="D18" s="122" t="s">
        <v>5</v>
      </c>
      <c r="E18" s="123"/>
      <c r="F18" s="123"/>
      <c r="G18" s="114" t="s">
        <v>6</v>
      </c>
      <c r="H18" s="22"/>
    </row>
    <row r="19" spans="1:22" ht="14.25" customHeight="1">
      <c r="A19" s="120"/>
      <c r="B19" s="120"/>
      <c r="C19" s="120"/>
      <c r="D19" s="4" t="s">
        <v>7</v>
      </c>
      <c r="E19" s="4" t="s">
        <v>8</v>
      </c>
      <c r="F19" s="4" t="s">
        <v>35</v>
      </c>
      <c r="G19" s="115"/>
      <c r="H19" s="23"/>
    </row>
    <row r="20" spans="1:22" ht="14.25" customHeight="1">
      <c r="A20" s="24">
        <v>1</v>
      </c>
      <c r="B20" s="25">
        <v>240242</v>
      </c>
      <c r="C20" s="26" t="s">
        <v>37</v>
      </c>
      <c r="D20" s="25">
        <v>2</v>
      </c>
      <c r="E20" s="25"/>
      <c r="F20" s="25">
        <v>8</v>
      </c>
      <c r="G20" s="27" t="s">
        <v>38</v>
      </c>
      <c r="H20" s="28" t="s">
        <v>39</v>
      </c>
    </row>
    <row r="21" spans="1:22" ht="14.25" customHeight="1">
      <c r="A21" s="6">
        <v>2</v>
      </c>
      <c r="B21" s="25">
        <v>240252</v>
      </c>
      <c r="C21" s="26" t="s">
        <v>40</v>
      </c>
      <c r="D21" s="25">
        <v>2</v>
      </c>
      <c r="E21" s="25"/>
      <c r="F21" s="25">
        <v>8</v>
      </c>
      <c r="G21" s="27" t="s">
        <v>38</v>
      </c>
      <c r="H21" s="17" t="s">
        <v>41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4.25" customHeight="1">
      <c r="A22" s="24">
        <v>3</v>
      </c>
      <c r="B22" s="25">
        <v>241262</v>
      </c>
      <c r="C22" s="26" t="s">
        <v>42</v>
      </c>
      <c r="D22" s="25"/>
      <c r="E22" s="25">
        <v>2</v>
      </c>
      <c r="F22" s="25">
        <v>8</v>
      </c>
      <c r="G22" s="27" t="s">
        <v>38</v>
      </c>
      <c r="H22" s="30" t="s">
        <v>43</v>
      </c>
    </row>
    <row r="23" spans="1:22" ht="14.25" customHeight="1">
      <c r="A23" s="24">
        <v>4</v>
      </c>
      <c r="B23" s="25">
        <v>240272</v>
      </c>
      <c r="C23" s="26" t="s">
        <v>44</v>
      </c>
      <c r="D23" s="25">
        <v>2</v>
      </c>
      <c r="E23" s="25"/>
      <c r="F23" s="25">
        <v>8</v>
      </c>
      <c r="G23" s="27" t="s">
        <v>14</v>
      </c>
      <c r="H23" s="17" t="s">
        <v>41</v>
      </c>
    </row>
    <row r="24" spans="1:22" ht="14.25" customHeight="1">
      <c r="A24" s="24"/>
      <c r="B24" s="25"/>
      <c r="C24" s="26"/>
      <c r="D24" s="25"/>
      <c r="E24" s="25"/>
      <c r="F24" s="25"/>
      <c r="G24" s="27" t="s">
        <v>16</v>
      </c>
      <c r="H24" s="30" t="s">
        <v>45</v>
      </c>
    </row>
    <row r="25" spans="1:22" ht="14.25" customHeight="1">
      <c r="A25" s="24">
        <v>5</v>
      </c>
      <c r="B25" s="25">
        <v>240282</v>
      </c>
      <c r="C25" s="26" t="s">
        <v>46</v>
      </c>
      <c r="D25" s="25">
        <v>2</v>
      </c>
      <c r="E25" s="25"/>
      <c r="F25" s="25">
        <v>8</v>
      </c>
      <c r="G25" s="27" t="s">
        <v>38</v>
      </c>
      <c r="H25" s="30" t="s">
        <v>47</v>
      </c>
    </row>
    <row r="26" spans="1:22" ht="14.25" customHeight="1">
      <c r="A26" s="24">
        <v>6</v>
      </c>
      <c r="B26" s="25">
        <v>241292</v>
      </c>
      <c r="C26" s="26" t="s">
        <v>48</v>
      </c>
      <c r="D26" s="25"/>
      <c r="E26" s="25">
        <v>2</v>
      </c>
      <c r="F26" s="25">
        <v>8</v>
      </c>
      <c r="G26" s="27" t="s">
        <v>38</v>
      </c>
      <c r="H26" s="30" t="s">
        <v>49</v>
      </c>
    </row>
    <row r="27" spans="1:22" ht="14.25" customHeight="1">
      <c r="A27" s="24">
        <v>7</v>
      </c>
      <c r="B27" s="25">
        <v>241312</v>
      </c>
      <c r="C27" s="26" t="s">
        <v>50</v>
      </c>
      <c r="D27" s="25"/>
      <c r="E27" s="25">
        <v>2</v>
      </c>
      <c r="F27" s="25">
        <v>8</v>
      </c>
      <c r="G27" s="27" t="s">
        <v>51</v>
      </c>
      <c r="H27" s="30" t="s">
        <v>52</v>
      </c>
    </row>
    <row r="28" spans="1:22" ht="14.25" customHeight="1">
      <c r="A28" s="24"/>
      <c r="B28" s="25"/>
      <c r="C28" s="26"/>
      <c r="D28" s="25"/>
      <c r="E28" s="25"/>
      <c r="F28" s="25"/>
      <c r="G28" s="27" t="s">
        <v>31</v>
      </c>
      <c r="H28" s="30" t="s">
        <v>53</v>
      </c>
    </row>
    <row r="29" spans="1:22" ht="14.25" customHeight="1">
      <c r="A29" s="24">
        <v>8</v>
      </c>
      <c r="B29" s="25">
        <v>241322</v>
      </c>
      <c r="C29" s="26" t="s">
        <v>54</v>
      </c>
      <c r="D29" s="25"/>
      <c r="E29" s="25">
        <v>2</v>
      </c>
      <c r="F29" s="25">
        <v>8</v>
      </c>
      <c r="G29" s="27" t="s">
        <v>38</v>
      </c>
      <c r="H29" s="30" t="s">
        <v>55</v>
      </c>
    </row>
    <row r="30" spans="1:22" ht="14.25" customHeight="1">
      <c r="A30" s="24">
        <v>9</v>
      </c>
      <c r="B30" s="25">
        <v>241332</v>
      </c>
      <c r="C30" s="26" t="s">
        <v>56</v>
      </c>
      <c r="D30" s="25"/>
      <c r="E30" s="25">
        <v>2</v>
      </c>
      <c r="F30" s="25">
        <v>8</v>
      </c>
      <c r="G30" s="27" t="s">
        <v>38</v>
      </c>
      <c r="H30" s="30" t="s">
        <v>57</v>
      </c>
    </row>
    <row r="31" spans="1:22" ht="14.25" customHeight="1">
      <c r="A31" s="24"/>
      <c r="B31" s="31"/>
      <c r="C31" s="32"/>
      <c r="D31" s="33"/>
      <c r="E31" s="33"/>
      <c r="F31" s="33"/>
      <c r="G31" s="10"/>
      <c r="H31" s="34"/>
    </row>
    <row r="32" spans="1:22" ht="14.25" customHeight="1">
      <c r="A32" s="35"/>
      <c r="B32" s="36"/>
      <c r="C32" s="37"/>
      <c r="D32" s="10"/>
      <c r="E32" s="10"/>
      <c r="F32" s="10"/>
      <c r="G32" s="10"/>
      <c r="H32" s="34"/>
    </row>
    <row r="33" spans="1:22" ht="14.25" customHeight="1">
      <c r="A33" s="116" t="s">
        <v>58</v>
      </c>
      <c r="B33" s="117"/>
      <c r="C33" s="118"/>
      <c r="D33" s="38">
        <f t="shared" ref="D33:F33" si="0">SUM(D20:D32)</f>
        <v>8</v>
      </c>
      <c r="E33" s="38">
        <f t="shared" si="0"/>
        <v>10</v>
      </c>
      <c r="F33" s="39">
        <f t="shared" si="0"/>
        <v>72</v>
      </c>
      <c r="G33" s="40"/>
    </row>
    <row r="34" spans="1:22" ht="14.25" customHeight="1">
      <c r="B34" s="41"/>
      <c r="C34" s="42"/>
      <c r="D34" s="21" t="s">
        <v>59</v>
      </c>
      <c r="E34" s="21">
        <f>D33+E33</f>
        <v>18</v>
      </c>
      <c r="F34" s="21"/>
    </row>
    <row r="35" spans="1:22" ht="14.25" customHeight="1"/>
    <row r="36" spans="1:22" ht="14.25" customHeight="1">
      <c r="A36" s="43" t="s">
        <v>60</v>
      </c>
      <c r="B36" s="44"/>
      <c r="C36" s="44"/>
      <c r="D36" s="44"/>
      <c r="E36" s="44"/>
      <c r="F36" s="44"/>
      <c r="G36" s="44"/>
      <c r="H36" s="21"/>
    </row>
    <row r="37" spans="1:22" ht="14.25" customHeight="1">
      <c r="A37" s="127" t="s">
        <v>2</v>
      </c>
      <c r="B37" s="127" t="s">
        <v>3</v>
      </c>
      <c r="C37" s="127" t="s">
        <v>4</v>
      </c>
      <c r="D37" s="128" t="s">
        <v>5</v>
      </c>
      <c r="E37" s="117"/>
      <c r="F37" s="117"/>
      <c r="G37" s="129" t="s">
        <v>6</v>
      </c>
      <c r="H37" s="45"/>
    </row>
    <row r="38" spans="1:22" ht="14.25" customHeight="1">
      <c r="A38" s="120"/>
      <c r="B38" s="120"/>
      <c r="C38" s="120"/>
      <c r="D38" s="46" t="s">
        <v>7</v>
      </c>
      <c r="E38" s="46" t="s">
        <v>61</v>
      </c>
      <c r="F38" s="46" t="s">
        <v>62</v>
      </c>
      <c r="G38" s="115"/>
      <c r="H38" s="47"/>
    </row>
    <row r="39" spans="1:22" ht="14.25" customHeight="1">
      <c r="A39" s="48">
        <v>1</v>
      </c>
      <c r="B39" s="49" t="s">
        <v>63</v>
      </c>
      <c r="C39" s="50" t="s">
        <v>28</v>
      </c>
      <c r="D39" s="51"/>
      <c r="E39" s="31">
        <v>2</v>
      </c>
      <c r="F39" s="31"/>
      <c r="G39" s="33" t="s">
        <v>64</v>
      </c>
      <c r="H39" s="11" t="s">
        <v>57</v>
      </c>
    </row>
    <row r="40" spans="1:22" ht="14.25" customHeight="1">
      <c r="A40" s="48"/>
      <c r="B40" s="52"/>
      <c r="C40" s="50"/>
      <c r="D40" s="51"/>
      <c r="E40" s="31"/>
      <c r="F40" s="31"/>
      <c r="G40" s="33" t="s">
        <v>65</v>
      </c>
      <c r="H40" s="34" t="s">
        <v>39</v>
      </c>
    </row>
    <row r="41" spans="1:22" ht="14.25" customHeight="1">
      <c r="A41" s="48">
        <v>2</v>
      </c>
      <c r="B41" s="49" t="s">
        <v>66</v>
      </c>
      <c r="C41" s="50" t="s">
        <v>67</v>
      </c>
      <c r="D41" s="51"/>
      <c r="E41" s="31">
        <v>6</v>
      </c>
      <c r="F41" s="31"/>
      <c r="G41" s="33"/>
      <c r="H41" s="34"/>
    </row>
    <row r="42" spans="1:22" ht="14.25" customHeight="1">
      <c r="A42" s="48">
        <v>3</v>
      </c>
      <c r="B42" s="49" t="s">
        <v>68</v>
      </c>
      <c r="C42" s="50" t="s">
        <v>69</v>
      </c>
      <c r="D42" s="51"/>
      <c r="E42" s="31">
        <v>4</v>
      </c>
      <c r="F42" s="31"/>
      <c r="G42" s="33" t="s">
        <v>64</v>
      </c>
      <c r="H42" s="12" t="s">
        <v>70</v>
      </c>
    </row>
    <row r="43" spans="1:22" ht="14.25" customHeight="1">
      <c r="A43" s="48"/>
      <c r="B43" s="53"/>
      <c r="C43" s="54"/>
      <c r="D43" s="51"/>
      <c r="E43" s="31"/>
      <c r="F43" s="31"/>
      <c r="G43" s="33" t="s">
        <v>65</v>
      </c>
      <c r="H43" s="12" t="s">
        <v>71</v>
      </c>
    </row>
    <row r="44" spans="1:22" ht="14.25" customHeight="1">
      <c r="A44" s="126" t="s">
        <v>58</v>
      </c>
      <c r="B44" s="123"/>
      <c r="C44" s="125"/>
      <c r="D44" s="9">
        <f>SUM(D39)</f>
        <v>0</v>
      </c>
      <c r="E44" s="9">
        <f t="shared" ref="E44:F44" si="1">SUM(E39:E43)</f>
        <v>12</v>
      </c>
      <c r="F44" s="9">
        <f t="shared" si="1"/>
        <v>0</v>
      </c>
      <c r="G44" s="55"/>
      <c r="H44" s="56"/>
    </row>
    <row r="45" spans="1:22" ht="14.25" customHeight="1"/>
    <row r="46" spans="1:22" ht="14.25" customHeight="1"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4.25" customHeight="1"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4.25" customHeight="1"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4.25" customHeight="1"/>
    <row r="50" spans="1:22" ht="14.25" customHeight="1"/>
    <row r="51" spans="1:22" ht="14.25" customHeight="1"/>
    <row r="52" spans="1:22" ht="14.25" customHeight="1">
      <c r="A52" s="57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ht="14.25" customHeight="1">
      <c r="A53" s="2"/>
    </row>
    <row r="54" spans="1:22" ht="14.25" customHeight="1">
      <c r="A54" s="132"/>
      <c r="B54" s="133"/>
      <c r="C54" s="132"/>
      <c r="D54" s="130"/>
      <c r="E54" s="131"/>
      <c r="F54" s="41"/>
      <c r="G54" s="41"/>
    </row>
    <row r="55" spans="1:22" ht="14.25" customHeight="1">
      <c r="A55" s="131"/>
      <c r="B55" s="131"/>
      <c r="C55" s="131"/>
      <c r="D55" s="41"/>
      <c r="E55" s="41"/>
      <c r="F55" s="41"/>
      <c r="G55" s="41"/>
    </row>
    <row r="56" spans="1:22" ht="14.25" customHeight="1">
      <c r="A56" s="58"/>
      <c r="B56" s="58"/>
      <c r="C56" s="59"/>
      <c r="D56" s="58"/>
      <c r="E56" s="58"/>
      <c r="F56" s="58"/>
      <c r="G56" s="58"/>
    </row>
    <row r="57" spans="1:22" ht="14.25" customHeight="1">
      <c r="A57" s="58"/>
      <c r="B57" s="58"/>
      <c r="C57" s="59"/>
      <c r="D57" s="58"/>
      <c r="E57" s="58"/>
      <c r="F57" s="58"/>
      <c r="G57" s="58"/>
    </row>
    <row r="58" spans="1:22" ht="14.25" customHeight="1">
      <c r="A58" s="58"/>
      <c r="B58" s="58"/>
      <c r="C58" s="59"/>
      <c r="D58" s="58"/>
      <c r="E58" s="58"/>
      <c r="F58" s="58"/>
      <c r="G58" s="58"/>
    </row>
    <row r="59" spans="1:22" ht="14.25" customHeight="1">
      <c r="A59" s="58"/>
      <c r="B59" s="58"/>
      <c r="C59" s="59"/>
      <c r="D59" s="58"/>
      <c r="E59" s="58"/>
      <c r="F59" s="58"/>
      <c r="G59" s="58"/>
    </row>
    <row r="60" spans="1:22" ht="14.25" customHeight="1">
      <c r="A60" s="58"/>
      <c r="B60" s="58"/>
      <c r="C60" s="59"/>
      <c r="D60" s="58"/>
      <c r="E60" s="58"/>
      <c r="F60" s="58"/>
      <c r="G60" s="58"/>
    </row>
    <row r="61" spans="1:22" ht="14.25" customHeight="1">
      <c r="A61" s="58"/>
      <c r="B61" s="58"/>
      <c r="C61" s="59"/>
      <c r="D61" s="58"/>
      <c r="E61" s="58"/>
      <c r="F61" s="58"/>
      <c r="G61" s="58"/>
    </row>
    <row r="62" spans="1:22" ht="14.25" customHeight="1">
      <c r="A62" s="58"/>
      <c r="B62" s="58"/>
      <c r="C62" s="59"/>
      <c r="D62" s="58"/>
      <c r="E62" s="58"/>
      <c r="F62" s="58"/>
      <c r="G62" s="58"/>
    </row>
    <row r="63" spans="1:22" ht="14.25" customHeight="1">
      <c r="A63" s="58"/>
      <c r="B63" s="58"/>
      <c r="C63" s="59"/>
      <c r="D63" s="58"/>
      <c r="E63" s="58"/>
      <c r="F63" s="58"/>
      <c r="G63" s="58"/>
    </row>
    <row r="64" spans="1:22" ht="14.25" customHeight="1">
      <c r="A64" s="58"/>
      <c r="B64" s="58"/>
      <c r="C64" s="59"/>
      <c r="D64" s="58"/>
      <c r="E64" s="58"/>
      <c r="F64" s="58"/>
      <c r="G64" s="58"/>
    </row>
    <row r="65" spans="1:7" ht="14.25" customHeight="1">
      <c r="A65" s="58"/>
      <c r="B65" s="58"/>
      <c r="C65" s="59"/>
      <c r="D65" s="59"/>
      <c r="E65" s="58"/>
      <c r="F65" s="58"/>
      <c r="G65" s="59"/>
    </row>
    <row r="66" spans="1:7" ht="14.25" customHeight="1">
      <c r="A66" s="134"/>
      <c r="B66" s="131"/>
      <c r="C66" s="131"/>
      <c r="D66" s="60"/>
      <c r="E66" s="60"/>
      <c r="F66" s="60"/>
      <c r="G66" s="60"/>
    </row>
    <row r="67" spans="1:7" ht="14.25" customHeight="1">
      <c r="A67" s="130"/>
      <c r="B67" s="131"/>
      <c r="C67" s="131"/>
      <c r="D67" s="41"/>
      <c r="E67" s="41"/>
      <c r="F67" s="41"/>
      <c r="G67" s="41"/>
    </row>
    <row r="68" spans="1:7" ht="14.25" customHeight="1"/>
    <row r="69" spans="1:7" ht="14.25" customHeight="1"/>
    <row r="70" spans="1:7" ht="14.25" customHeight="1">
      <c r="A70" s="2"/>
    </row>
    <row r="71" spans="1:7" ht="14.25" customHeight="1">
      <c r="A71" s="132"/>
      <c r="B71" s="133"/>
      <c r="C71" s="132"/>
      <c r="D71" s="130"/>
      <c r="E71" s="131"/>
      <c r="F71" s="41"/>
      <c r="G71" s="41"/>
    </row>
    <row r="72" spans="1:7" ht="14.25" customHeight="1">
      <c r="A72" s="131"/>
      <c r="B72" s="131"/>
      <c r="C72" s="131"/>
      <c r="D72" s="41"/>
      <c r="E72" s="41"/>
      <c r="F72" s="41"/>
      <c r="G72" s="41"/>
    </row>
    <row r="73" spans="1:7" ht="14.25" customHeight="1">
      <c r="A73" s="58"/>
      <c r="B73" s="58"/>
      <c r="C73" s="59"/>
      <c r="D73" s="58"/>
      <c r="E73" s="58"/>
      <c r="F73" s="58"/>
      <c r="G73" s="41"/>
    </row>
    <row r="74" spans="1:7" ht="14.25" customHeight="1">
      <c r="A74" s="58"/>
      <c r="B74" s="58"/>
      <c r="C74" s="59"/>
      <c r="D74" s="58"/>
      <c r="E74" s="58"/>
      <c r="F74" s="58"/>
      <c r="G74" s="41"/>
    </row>
    <row r="75" spans="1:7" ht="14.25" customHeight="1">
      <c r="A75" s="58"/>
      <c r="B75" s="58"/>
      <c r="C75" s="59"/>
      <c r="D75" s="58"/>
      <c r="E75" s="58"/>
      <c r="F75" s="58"/>
      <c r="G75" s="41"/>
    </row>
    <row r="76" spans="1:7" ht="14.25" customHeight="1">
      <c r="A76" s="58"/>
      <c r="B76" s="58"/>
      <c r="C76" s="59"/>
      <c r="D76" s="58"/>
      <c r="E76" s="58"/>
      <c r="F76" s="58"/>
      <c r="G76" s="41"/>
    </row>
    <row r="77" spans="1:7" ht="14.25" customHeight="1">
      <c r="A77" s="58"/>
      <c r="B77" s="58"/>
      <c r="C77" s="59"/>
      <c r="D77" s="58"/>
      <c r="E77" s="58"/>
      <c r="F77" s="58"/>
      <c r="G77" s="41"/>
    </row>
    <row r="78" spans="1:7" ht="14.25" customHeight="1">
      <c r="A78" s="58"/>
      <c r="B78" s="58"/>
      <c r="C78" s="59"/>
      <c r="D78" s="58"/>
      <c r="E78" s="58"/>
      <c r="F78" s="58"/>
      <c r="G78" s="41"/>
    </row>
    <row r="79" spans="1:7" ht="14.25" customHeight="1">
      <c r="A79" s="58"/>
      <c r="B79" s="58"/>
      <c r="C79" s="59"/>
      <c r="D79" s="58"/>
      <c r="E79" s="58"/>
      <c r="F79" s="58"/>
      <c r="G79" s="41"/>
    </row>
    <row r="80" spans="1:7" ht="14.25" customHeight="1">
      <c r="A80" s="58"/>
      <c r="B80" s="58"/>
      <c r="C80" s="59"/>
      <c r="D80" s="58"/>
      <c r="E80" s="58"/>
      <c r="F80" s="58"/>
      <c r="G80" s="41"/>
    </row>
    <row r="81" spans="1:7" ht="14.25" customHeight="1">
      <c r="A81" s="58"/>
      <c r="B81" s="58"/>
      <c r="C81" s="59"/>
      <c r="D81" s="58"/>
      <c r="E81" s="58"/>
      <c r="F81" s="58"/>
      <c r="G81" s="41"/>
    </row>
    <row r="82" spans="1:7" ht="14.25" customHeight="1">
      <c r="A82" s="58"/>
      <c r="B82" s="59"/>
      <c r="C82" s="59"/>
      <c r="D82" s="59"/>
      <c r="E82" s="59"/>
      <c r="F82" s="59"/>
      <c r="G82" s="41"/>
    </row>
    <row r="83" spans="1:7" ht="14.25" customHeight="1">
      <c r="A83" s="134"/>
      <c r="B83" s="131"/>
      <c r="C83" s="131"/>
      <c r="D83" s="60"/>
      <c r="E83" s="60"/>
      <c r="F83" s="60"/>
      <c r="G83" s="41"/>
    </row>
    <row r="84" spans="1:7" ht="14.25" customHeight="1"/>
    <row r="85" spans="1:7" ht="14.25" customHeight="1"/>
    <row r="86" spans="1:7" ht="14.25" customHeight="1"/>
    <row r="87" spans="1:7" ht="14.25" customHeight="1"/>
    <row r="88" spans="1:7" ht="14.25" customHeight="1"/>
    <row r="89" spans="1:7" ht="14.25" customHeight="1"/>
    <row r="90" spans="1:7" ht="14.25" customHeight="1"/>
    <row r="91" spans="1:7" ht="14.25" customHeight="1"/>
    <row r="92" spans="1:7" ht="14.25" customHeight="1"/>
    <row r="93" spans="1:7" ht="14.25" customHeight="1"/>
    <row r="94" spans="1:7" ht="14.25" customHeight="1"/>
    <row r="95" spans="1:7" ht="14.25" customHeight="1"/>
    <row r="96" spans="1: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29">
    <mergeCell ref="A83:C83"/>
    <mergeCell ref="A67:C67"/>
    <mergeCell ref="A71:A72"/>
    <mergeCell ref="B71:B72"/>
    <mergeCell ref="C71:C72"/>
    <mergeCell ref="G37:G38"/>
    <mergeCell ref="D71:E71"/>
    <mergeCell ref="A54:A55"/>
    <mergeCell ref="B54:B55"/>
    <mergeCell ref="C54:C55"/>
    <mergeCell ref="D54:E54"/>
    <mergeCell ref="A66:C66"/>
    <mergeCell ref="A44:C44"/>
    <mergeCell ref="A18:A19"/>
    <mergeCell ref="B18:B19"/>
    <mergeCell ref="C18:C19"/>
    <mergeCell ref="D18:F18"/>
    <mergeCell ref="A37:A38"/>
    <mergeCell ref="B37:B38"/>
    <mergeCell ref="C37:C38"/>
    <mergeCell ref="D37:F37"/>
    <mergeCell ref="G18:G19"/>
    <mergeCell ref="A33:C33"/>
    <mergeCell ref="A3:A4"/>
    <mergeCell ref="B3:B4"/>
    <mergeCell ref="C3:C4"/>
    <mergeCell ref="D3:F3"/>
    <mergeCell ref="G3:G4"/>
    <mergeCell ref="A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48D6-28DA-4B52-A6B6-7B4805F4D779}">
  <dimension ref="A1:X994"/>
  <sheetViews>
    <sheetView workbookViewId="0">
      <selection activeCell="D3" sqref="D3:E3"/>
    </sheetView>
  </sheetViews>
  <sheetFormatPr defaultColWidth="14.44140625" defaultRowHeight="14.4"/>
  <cols>
    <col min="1" max="1" width="9" customWidth="1"/>
    <col min="2" max="2" width="14.88671875" customWidth="1"/>
    <col min="3" max="3" width="39.44140625" customWidth="1"/>
    <col min="4" max="5" width="8.6640625" customWidth="1"/>
    <col min="6" max="7" width="8.6640625" hidden="1" customWidth="1"/>
    <col min="8" max="8" width="13" customWidth="1"/>
    <col min="9" max="9" width="47.44140625" customWidth="1"/>
    <col min="10" max="24" width="8.6640625" customWidth="1"/>
  </cols>
  <sheetData>
    <row r="1" spans="1:24" ht="14.25" customHeight="1">
      <c r="A1" s="61" t="s">
        <v>72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 spans="1:24" ht="14.25" customHeight="1">
      <c r="A2" s="2" t="s">
        <v>73</v>
      </c>
      <c r="J2" s="63" t="s">
        <v>74</v>
      </c>
    </row>
    <row r="3" spans="1:24" ht="14.25" customHeight="1">
      <c r="A3" s="136" t="s">
        <v>2</v>
      </c>
      <c r="B3" s="136"/>
      <c r="C3" s="121" t="s">
        <v>143</v>
      </c>
      <c r="D3" s="137" t="s">
        <v>33</v>
      </c>
      <c r="E3" s="125"/>
      <c r="F3" s="138"/>
      <c r="G3" s="125"/>
      <c r="H3" s="135" t="s">
        <v>36</v>
      </c>
      <c r="I3" s="34"/>
    </row>
    <row r="4" spans="1:24" ht="14.25" customHeight="1">
      <c r="A4" s="120"/>
      <c r="B4" s="120"/>
      <c r="C4" s="120"/>
      <c r="D4" s="64" t="s">
        <v>7</v>
      </c>
      <c r="E4" s="64" t="s">
        <v>76</v>
      </c>
      <c r="F4" s="65"/>
      <c r="G4" s="65"/>
      <c r="H4" s="120"/>
      <c r="I4" s="34"/>
    </row>
    <row r="5" spans="1:24" ht="14.25" customHeight="1" thickBot="1">
      <c r="A5" s="66">
        <v>1</v>
      </c>
      <c r="B5" s="67" t="s">
        <v>77</v>
      </c>
      <c r="C5" s="68" t="s">
        <v>13</v>
      </c>
      <c r="D5" s="69">
        <v>2</v>
      </c>
      <c r="E5" s="69">
        <v>2</v>
      </c>
      <c r="F5" s="55"/>
      <c r="G5" s="56"/>
      <c r="H5" s="56">
        <v>6</v>
      </c>
      <c r="I5" s="34" t="s">
        <v>78</v>
      </c>
    </row>
    <row r="6" spans="1:24" ht="14.25" customHeight="1" thickBot="1">
      <c r="A6" s="66">
        <v>2</v>
      </c>
      <c r="B6" s="70" t="s">
        <v>79</v>
      </c>
      <c r="C6" s="71" t="s">
        <v>80</v>
      </c>
      <c r="D6" s="72">
        <v>2</v>
      </c>
      <c r="E6" s="72">
        <v>2</v>
      </c>
      <c r="F6" s="55"/>
      <c r="G6" s="56"/>
      <c r="H6" s="56">
        <v>6</v>
      </c>
      <c r="I6" s="34" t="s">
        <v>81</v>
      </c>
    </row>
    <row r="7" spans="1:24" ht="14.25" customHeight="1" thickBot="1">
      <c r="A7" s="66">
        <v>3</v>
      </c>
      <c r="B7" s="70" t="s">
        <v>82</v>
      </c>
      <c r="C7" s="71" t="s">
        <v>83</v>
      </c>
      <c r="D7" s="72">
        <v>2</v>
      </c>
      <c r="E7" s="72">
        <v>0</v>
      </c>
      <c r="F7" s="55"/>
      <c r="G7" s="56"/>
      <c r="H7" s="56">
        <f t="shared" ref="H7:H8" si="0">SUM(D7:E7)</f>
        <v>2</v>
      </c>
      <c r="I7" s="34" t="s">
        <v>84</v>
      </c>
    </row>
    <row r="8" spans="1:24" ht="14.25" customHeight="1" thickBot="1">
      <c r="A8" s="66">
        <v>4</v>
      </c>
      <c r="B8" s="70" t="s">
        <v>85</v>
      </c>
      <c r="C8" s="71" t="s">
        <v>86</v>
      </c>
      <c r="D8" s="72">
        <v>2</v>
      </c>
      <c r="E8" s="72">
        <v>0</v>
      </c>
      <c r="F8" s="55"/>
      <c r="G8" s="56"/>
      <c r="H8" s="56">
        <f t="shared" si="0"/>
        <v>2</v>
      </c>
      <c r="I8" s="34" t="s">
        <v>87</v>
      </c>
    </row>
    <row r="9" spans="1:24" ht="14.25" customHeight="1" thickBot="1">
      <c r="A9" s="66">
        <v>5</v>
      </c>
      <c r="B9" s="70" t="s">
        <v>88</v>
      </c>
      <c r="C9" s="71" t="s">
        <v>89</v>
      </c>
      <c r="D9" s="72">
        <v>2</v>
      </c>
      <c r="E9" s="72">
        <v>2</v>
      </c>
      <c r="F9" s="55"/>
      <c r="G9" s="56"/>
      <c r="H9" s="56">
        <v>6</v>
      </c>
      <c r="I9" s="34" t="s">
        <v>90</v>
      </c>
    </row>
    <row r="10" spans="1:24" ht="14.25" customHeight="1" thickBot="1">
      <c r="A10" s="66">
        <v>6</v>
      </c>
      <c r="B10" s="70" t="s">
        <v>91</v>
      </c>
      <c r="C10" s="71" t="s">
        <v>92</v>
      </c>
      <c r="D10" s="72">
        <v>2</v>
      </c>
      <c r="E10" s="72">
        <v>0</v>
      </c>
      <c r="F10" s="55"/>
      <c r="G10" s="56"/>
      <c r="H10" s="56">
        <f>SUM(D10:E10)</f>
        <v>2</v>
      </c>
      <c r="I10" s="34" t="s">
        <v>93</v>
      </c>
    </row>
    <row r="11" spans="1:24" ht="14.25" customHeight="1" thickBot="1">
      <c r="A11" s="66">
        <v>7</v>
      </c>
      <c r="B11" s="70" t="s">
        <v>94</v>
      </c>
      <c r="C11" s="71" t="s">
        <v>95</v>
      </c>
      <c r="D11" s="72">
        <v>2</v>
      </c>
      <c r="E11" s="72">
        <v>2</v>
      </c>
      <c r="F11" s="55"/>
      <c r="G11" s="56"/>
      <c r="H11" s="56">
        <v>6</v>
      </c>
      <c r="I11" s="34" t="s">
        <v>96</v>
      </c>
    </row>
    <row r="12" spans="1:24" ht="14.25" customHeight="1">
      <c r="A12" s="139" t="s">
        <v>97</v>
      </c>
      <c r="B12" s="123"/>
      <c r="C12" s="125"/>
      <c r="D12" s="73">
        <f t="shared" ref="D12:E12" si="1">SUM(D5:D11)</f>
        <v>14</v>
      </c>
      <c r="E12" s="73">
        <f t="shared" si="1"/>
        <v>8</v>
      </c>
      <c r="F12" s="73">
        <v>16</v>
      </c>
      <c r="G12" s="73">
        <v>8</v>
      </c>
      <c r="H12" s="63">
        <f>SUM(H5:H11)</f>
        <v>30</v>
      </c>
      <c r="I12" s="34"/>
    </row>
    <row r="13" spans="1:24" ht="14.25" customHeight="1">
      <c r="D13" s="140">
        <f>SUM(D12:E12)</f>
        <v>22</v>
      </c>
      <c r="E13" s="125"/>
    </row>
    <row r="14" spans="1:24" ht="14.25" customHeight="1">
      <c r="A14" s="2" t="s">
        <v>34</v>
      </c>
    </row>
    <row r="15" spans="1:24" ht="14.25" customHeight="1">
      <c r="A15" s="141" t="s">
        <v>2</v>
      </c>
      <c r="B15" s="141" t="s">
        <v>98</v>
      </c>
      <c r="C15" s="141" t="s">
        <v>99</v>
      </c>
      <c r="D15" s="137" t="s">
        <v>75</v>
      </c>
      <c r="E15" s="125"/>
      <c r="F15" s="137" t="s">
        <v>100</v>
      </c>
      <c r="G15" s="125"/>
      <c r="H15" s="135" t="s">
        <v>36</v>
      </c>
      <c r="I15" s="74"/>
    </row>
    <row r="16" spans="1:24" ht="14.25" customHeight="1">
      <c r="A16" s="120"/>
      <c r="B16" s="120"/>
      <c r="C16" s="120"/>
      <c r="D16" s="64" t="s">
        <v>7</v>
      </c>
      <c r="E16" s="64" t="s">
        <v>76</v>
      </c>
      <c r="F16" s="64" t="s">
        <v>7</v>
      </c>
      <c r="G16" s="64" t="s">
        <v>76</v>
      </c>
      <c r="H16" s="120"/>
      <c r="I16" s="74"/>
    </row>
    <row r="17" spans="1:24" ht="14.25" customHeight="1">
      <c r="A17" s="55">
        <v>1</v>
      </c>
      <c r="B17" s="75" t="s">
        <v>101</v>
      </c>
      <c r="C17" s="76" t="s">
        <v>102</v>
      </c>
      <c r="D17" s="77">
        <v>2</v>
      </c>
      <c r="E17" s="77"/>
      <c r="F17" s="55"/>
      <c r="G17" s="56"/>
      <c r="H17" s="56">
        <f t="shared" ref="H17:H22" si="2">SUM(D17:E17)</f>
        <v>2</v>
      </c>
      <c r="I17" s="34" t="s">
        <v>103</v>
      </c>
    </row>
    <row r="18" spans="1:24" ht="14.25" customHeight="1">
      <c r="A18" s="55">
        <v>2</v>
      </c>
      <c r="B18" s="75" t="s">
        <v>104</v>
      </c>
      <c r="C18" s="76" t="s">
        <v>105</v>
      </c>
      <c r="D18" s="77">
        <v>2</v>
      </c>
      <c r="E18" s="77"/>
      <c r="F18" s="55"/>
      <c r="G18" s="56"/>
      <c r="H18" s="56">
        <f t="shared" si="2"/>
        <v>2</v>
      </c>
      <c r="I18" s="30" t="s">
        <v>106</v>
      </c>
    </row>
    <row r="19" spans="1:24" ht="14.25" customHeight="1">
      <c r="A19" s="55">
        <v>3</v>
      </c>
      <c r="B19" s="75" t="s">
        <v>107</v>
      </c>
      <c r="C19" s="30" t="s">
        <v>108</v>
      </c>
      <c r="D19" s="77">
        <v>2</v>
      </c>
      <c r="E19" s="77"/>
      <c r="F19" s="78"/>
      <c r="G19" s="34"/>
      <c r="H19" s="34">
        <f t="shared" si="2"/>
        <v>2</v>
      </c>
      <c r="I19" s="34" t="s">
        <v>93</v>
      </c>
    </row>
    <row r="20" spans="1:24" ht="14.25" customHeight="1">
      <c r="A20" s="55">
        <v>4</v>
      </c>
      <c r="B20" s="75" t="s">
        <v>109</v>
      </c>
      <c r="C20" s="76" t="s">
        <v>110</v>
      </c>
      <c r="D20" s="77">
        <v>2</v>
      </c>
      <c r="E20" s="77"/>
      <c r="F20" s="34"/>
      <c r="G20" s="78"/>
      <c r="H20" s="34">
        <f t="shared" si="2"/>
        <v>2</v>
      </c>
      <c r="I20" s="34"/>
    </row>
    <row r="21" spans="1:24" ht="14.25" customHeight="1">
      <c r="A21" s="55">
        <v>5</v>
      </c>
      <c r="B21" s="75" t="s">
        <v>111</v>
      </c>
      <c r="C21" s="76" t="s">
        <v>112</v>
      </c>
      <c r="D21" s="77">
        <v>2</v>
      </c>
      <c r="E21" s="77"/>
      <c r="F21" s="34"/>
      <c r="G21" s="78"/>
      <c r="H21" s="34">
        <f t="shared" si="2"/>
        <v>2</v>
      </c>
      <c r="I21" s="30"/>
    </row>
    <row r="22" spans="1:24" ht="14.25" customHeight="1">
      <c r="A22" s="55">
        <v>6</v>
      </c>
      <c r="B22" s="75" t="s">
        <v>113</v>
      </c>
      <c r="C22" s="76" t="s">
        <v>114</v>
      </c>
      <c r="D22" s="77">
        <v>2</v>
      </c>
      <c r="E22" s="77"/>
      <c r="F22" s="78"/>
      <c r="G22" s="34"/>
      <c r="H22" s="34">
        <f t="shared" si="2"/>
        <v>2</v>
      </c>
      <c r="I22" s="30" t="s">
        <v>115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14.25" customHeight="1">
      <c r="A23" s="55">
        <v>7</v>
      </c>
      <c r="B23" s="75" t="s">
        <v>116</v>
      </c>
      <c r="C23" s="76" t="s">
        <v>117</v>
      </c>
      <c r="D23" s="77"/>
      <c r="E23" s="77">
        <v>2</v>
      </c>
      <c r="F23" s="78"/>
      <c r="G23" s="34"/>
      <c r="H23" s="34">
        <v>4</v>
      </c>
      <c r="I23" s="34" t="s">
        <v>103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4.25" customHeight="1">
      <c r="A24" s="55">
        <v>8</v>
      </c>
      <c r="B24" s="75" t="s">
        <v>118</v>
      </c>
      <c r="C24" s="76" t="s">
        <v>119</v>
      </c>
      <c r="D24" s="77"/>
      <c r="E24" s="77">
        <v>2</v>
      </c>
      <c r="F24" s="79"/>
      <c r="G24" s="80"/>
      <c r="H24" s="56">
        <v>4</v>
      </c>
      <c r="I24" s="34" t="s">
        <v>106</v>
      </c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</row>
    <row r="25" spans="1:24" ht="14.25" customHeight="1">
      <c r="A25" s="55">
        <v>9</v>
      </c>
      <c r="B25" s="75" t="s">
        <v>120</v>
      </c>
      <c r="C25" s="76" t="s">
        <v>121</v>
      </c>
      <c r="D25" s="77"/>
      <c r="E25" s="77">
        <v>2</v>
      </c>
      <c r="F25" s="78"/>
      <c r="G25" s="34"/>
      <c r="H25" s="34">
        <v>4</v>
      </c>
      <c r="I25" s="30" t="s">
        <v>115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ht="14.25" customHeight="1">
      <c r="A26" s="55">
        <v>10</v>
      </c>
      <c r="B26" s="75" t="s">
        <v>122</v>
      </c>
      <c r="C26" s="30" t="s">
        <v>123</v>
      </c>
      <c r="D26" s="77"/>
      <c r="E26" s="77">
        <v>2</v>
      </c>
      <c r="F26" s="30"/>
      <c r="G26" s="77"/>
      <c r="H26" s="30">
        <v>4</v>
      </c>
      <c r="I26" s="30" t="s">
        <v>124</v>
      </c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</row>
    <row r="27" spans="1:24" ht="14.25" customHeight="1">
      <c r="A27" s="142" t="s">
        <v>97</v>
      </c>
      <c r="B27" s="117"/>
      <c r="C27" s="118"/>
      <c r="D27" s="82">
        <f t="shared" ref="D27:H27" si="3">SUM(D17:D26)</f>
        <v>12</v>
      </c>
      <c r="E27" s="82">
        <f t="shared" si="3"/>
        <v>8</v>
      </c>
      <c r="F27" s="82">
        <f t="shared" si="3"/>
        <v>0</v>
      </c>
      <c r="G27" s="82">
        <f t="shared" si="3"/>
        <v>0</v>
      </c>
      <c r="H27" s="82">
        <f t="shared" si="3"/>
        <v>28</v>
      </c>
    </row>
    <row r="28" spans="1:24" ht="14.25" customHeight="1">
      <c r="D28" s="143">
        <f>SUM(D27+E27)</f>
        <v>20</v>
      </c>
      <c r="E28" s="125"/>
    </row>
    <row r="29" spans="1:24" ht="14.25" customHeight="1"/>
    <row r="30" spans="1:24" ht="23.25" customHeight="1">
      <c r="A30" s="83" t="s">
        <v>125</v>
      </c>
      <c r="B30" s="84"/>
      <c r="C30" s="84"/>
      <c r="D30" s="84"/>
      <c r="E30" s="84"/>
      <c r="F30" s="84"/>
      <c r="G30" s="84"/>
      <c r="H30" s="84"/>
      <c r="I30" s="21" t="s">
        <v>126</v>
      </c>
    </row>
    <row r="31" spans="1:24" ht="14.25" customHeight="1">
      <c r="A31" s="144" t="s">
        <v>2</v>
      </c>
      <c r="B31" s="144" t="s">
        <v>98</v>
      </c>
      <c r="C31" s="144" t="s">
        <v>99</v>
      </c>
      <c r="D31" s="145" t="s">
        <v>75</v>
      </c>
      <c r="E31" s="125"/>
      <c r="F31" s="145" t="s">
        <v>100</v>
      </c>
      <c r="G31" s="125"/>
      <c r="H31" s="144"/>
    </row>
    <row r="32" spans="1:24" ht="14.25" customHeight="1">
      <c r="A32" s="120"/>
      <c r="B32" s="120"/>
      <c r="C32" s="120"/>
      <c r="D32" s="85" t="s">
        <v>7</v>
      </c>
      <c r="E32" s="85" t="s">
        <v>76</v>
      </c>
      <c r="F32" s="85" t="s">
        <v>7</v>
      </c>
      <c r="G32" s="85" t="s">
        <v>76</v>
      </c>
      <c r="H32" s="120"/>
    </row>
    <row r="33" spans="1:9" ht="14.25" customHeight="1">
      <c r="A33" s="78">
        <v>1</v>
      </c>
      <c r="B33" s="86" t="s">
        <v>127</v>
      </c>
      <c r="C33" s="76" t="s">
        <v>128</v>
      </c>
      <c r="D33" s="77"/>
      <c r="E33" s="77">
        <v>20</v>
      </c>
      <c r="F33" s="34"/>
      <c r="G33" s="78"/>
      <c r="H33" s="34">
        <f t="shared" ref="H33:H34" si="4">SUM(D33:E33)</f>
        <v>20</v>
      </c>
      <c r="I33" s="63" t="s">
        <v>129</v>
      </c>
    </row>
    <row r="34" spans="1:9" ht="14.25" customHeight="1">
      <c r="A34" s="78">
        <v>2</v>
      </c>
      <c r="B34" s="86" t="s">
        <v>130</v>
      </c>
      <c r="C34" s="30" t="s">
        <v>131</v>
      </c>
      <c r="D34" s="77"/>
      <c r="E34" s="77">
        <v>3</v>
      </c>
      <c r="F34" s="34"/>
      <c r="G34" s="78"/>
      <c r="H34" s="34">
        <f t="shared" si="4"/>
        <v>3</v>
      </c>
      <c r="I34" s="30"/>
    </row>
    <row r="35" spans="1:9" ht="14.25" customHeight="1">
      <c r="A35" s="78"/>
      <c r="B35" s="78"/>
      <c r="C35" s="87"/>
      <c r="D35" s="87"/>
      <c r="E35" s="88"/>
      <c r="F35" s="87"/>
      <c r="G35" s="88"/>
      <c r="H35" s="87"/>
      <c r="I35" s="34"/>
    </row>
    <row r="36" spans="1:9" ht="14.25" customHeight="1">
      <c r="A36" s="146" t="s">
        <v>97</v>
      </c>
      <c r="B36" s="123"/>
      <c r="C36" s="125"/>
      <c r="D36" s="89">
        <f t="shared" ref="D36:G36" si="5">SUM(D33:D34)</f>
        <v>0</v>
      </c>
      <c r="E36" s="89">
        <f t="shared" si="5"/>
        <v>23</v>
      </c>
      <c r="F36" s="89">
        <f t="shared" si="5"/>
        <v>0</v>
      </c>
      <c r="G36" s="89">
        <f t="shared" si="5"/>
        <v>0</v>
      </c>
      <c r="H36" s="90">
        <f>SUM(D36,E36)</f>
        <v>23</v>
      </c>
    </row>
    <row r="37" spans="1:9" ht="14.25" customHeight="1"/>
    <row r="38" spans="1:9" ht="14.25" customHeight="1"/>
    <row r="39" spans="1:9" ht="23.25" customHeight="1">
      <c r="A39" s="83" t="s">
        <v>132</v>
      </c>
      <c r="B39" s="84"/>
      <c r="C39" s="84"/>
      <c r="D39" s="84"/>
      <c r="E39" s="84"/>
      <c r="F39" s="84"/>
      <c r="G39" s="84"/>
      <c r="H39" s="84"/>
      <c r="I39" s="21" t="s">
        <v>126</v>
      </c>
    </row>
    <row r="40" spans="1:9" ht="14.25" customHeight="1">
      <c r="A40" s="144" t="s">
        <v>2</v>
      </c>
      <c r="B40" s="144" t="s">
        <v>98</v>
      </c>
      <c r="C40" s="144" t="s">
        <v>99</v>
      </c>
      <c r="D40" s="145" t="s">
        <v>75</v>
      </c>
      <c r="E40" s="125"/>
      <c r="F40" s="145" t="s">
        <v>100</v>
      </c>
      <c r="G40" s="125"/>
      <c r="H40" s="144"/>
    </row>
    <row r="41" spans="1:9" ht="14.25" customHeight="1">
      <c r="A41" s="120"/>
      <c r="B41" s="120"/>
      <c r="C41" s="120"/>
      <c r="D41" s="85" t="s">
        <v>7</v>
      </c>
      <c r="E41" s="85" t="s">
        <v>76</v>
      </c>
      <c r="F41" s="85" t="s">
        <v>7</v>
      </c>
      <c r="G41" s="85" t="s">
        <v>76</v>
      </c>
      <c r="H41" s="120"/>
    </row>
    <row r="42" spans="1:9" ht="14.25" customHeight="1">
      <c r="A42" s="78">
        <v>1</v>
      </c>
      <c r="B42" s="86" t="s">
        <v>133</v>
      </c>
      <c r="C42" s="30" t="s">
        <v>67</v>
      </c>
      <c r="D42" s="30"/>
      <c r="E42" s="77">
        <v>6</v>
      </c>
      <c r="F42" s="34"/>
      <c r="G42" s="78"/>
      <c r="H42" s="34">
        <f t="shared" ref="H42:H43" si="6">SUM(D42:E42)</f>
        <v>6</v>
      </c>
      <c r="I42" s="63" t="s">
        <v>129</v>
      </c>
    </row>
    <row r="43" spans="1:9" ht="14.25" customHeight="1">
      <c r="A43" s="78">
        <v>2</v>
      </c>
      <c r="B43" s="86" t="s">
        <v>134</v>
      </c>
      <c r="C43" s="76" t="s">
        <v>135</v>
      </c>
      <c r="D43" s="77">
        <v>2</v>
      </c>
      <c r="E43" s="76"/>
      <c r="F43" s="87"/>
      <c r="G43" s="88"/>
      <c r="H43" s="34">
        <f t="shared" si="6"/>
        <v>2</v>
      </c>
      <c r="I43" s="30" t="s">
        <v>136</v>
      </c>
    </row>
    <row r="44" spans="1:9" ht="14.25" customHeight="1">
      <c r="A44" s="78"/>
      <c r="B44" s="78"/>
      <c r="C44" s="87"/>
      <c r="D44" s="87"/>
      <c r="E44" s="88"/>
      <c r="F44" s="87"/>
      <c r="G44" s="88"/>
      <c r="H44" s="87"/>
      <c r="I44" s="34"/>
    </row>
    <row r="45" spans="1:9" ht="14.25" customHeight="1">
      <c r="A45" s="146" t="s">
        <v>97</v>
      </c>
      <c r="B45" s="123"/>
      <c r="C45" s="125"/>
      <c r="D45" s="89">
        <f t="shared" ref="D45:G45" si="7">SUM(D42:D43)</f>
        <v>2</v>
      </c>
      <c r="E45" s="89">
        <f t="shared" si="7"/>
        <v>6</v>
      </c>
      <c r="F45" s="89">
        <f t="shared" si="7"/>
        <v>0</v>
      </c>
      <c r="G45" s="89">
        <f t="shared" si="7"/>
        <v>0</v>
      </c>
      <c r="H45" s="90">
        <f>SUM(D45,E45)</f>
        <v>8</v>
      </c>
    </row>
    <row r="46" spans="1:9" ht="14.25" customHeight="1"/>
    <row r="47" spans="1:9" ht="14.25" customHeight="1"/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30">
    <mergeCell ref="H40:H41"/>
    <mergeCell ref="A45:C45"/>
    <mergeCell ref="A36:C36"/>
    <mergeCell ref="A40:A41"/>
    <mergeCell ref="B40:B41"/>
    <mergeCell ref="C40:C41"/>
    <mergeCell ref="D40:E40"/>
    <mergeCell ref="F40:G40"/>
    <mergeCell ref="F15:G15"/>
    <mergeCell ref="H15:H16"/>
    <mergeCell ref="A27:C27"/>
    <mergeCell ref="D28:E28"/>
    <mergeCell ref="A31:A32"/>
    <mergeCell ref="B31:B32"/>
    <mergeCell ref="C31:C32"/>
    <mergeCell ref="D31:E31"/>
    <mergeCell ref="F31:G31"/>
    <mergeCell ref="H31:H32"/>
    <mergeCell ref="A12:C12"/>
    <mergeCell ref="D13:E13"/>
    <mergeCell ref="A15:A16"/>
    <mergeCell ref="B15:B16"/>
    <mergeCell ref="C15:C16"/>
    <mergeCell ref="D15:E15"/>
    <mergeCell ref="H3:H4"/>
    <mergeCell ref="A3:A4"/>
    <mergeCell ref="B3:B4"/>
    <mergeCell ref="C3:C4"/>
    <mergeCell ref="D3:E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F251-E8B9-4543-90B4-2C9EC3DA3310}">
  <dimension ref="A1:X1000"/>
  <sheetViews>
    <sheetView tabSelected="1" topLeftCell="A8" workbookViewId="0">
      <selection activeCell="H26" sqref="H26"/>
    </sheetView>
  </sheetViews>
  <sheetFormatPr defaultColWidth="14.44140625" defaultRowHeight="14.4"/>
  <cols>
    <col min="1" max="1" width="9" customWidth="1"/>
    <col min="2" max="2" width="14.88671875" customWidth="1"/>
    <col min="3" max="3" width="42.109375" customWidth="1"/>
    <col min="4" max="5" width="8.6640625" customWidth="1"/>
    <col min="6" max="7" width="8.6640625" hidden="1" customWidth="1"/>
    <col min="8" max="8" width="15.88671875" customWidth="1"/>
    <col min="9" max="9" width="75.5546875" customWidth="1"/>
    <col min="10" max="24" width="8.6640625" customWidth="1"/>
  </cols>
  <sheetData>
    <row r="1" spans="1:24" ht="14.25" customHeight="1" thickBot="1">
      <c r="A1" s="151" t="s">
        <v>140</v>
      </c>
      <c r="B1" s="152"/>
      <c r="C1" s="152"/>
      <c r="D1" s="153">
        <v>0</v>
      </c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4" ht="14.25" customHeight="1" thickBot="1">
      <c r="A2" s="154" t="s">
        <v>1</v>
      </c>
      <c r="B2" s="155"/>
      <c r="C2" s="155" t="s">
        <v>141</v>
      </c>
      <c r="D2" s="155"/>
      <c r="E2" s="155"/>
      <c r="F2" s="155"/>
      <c r="G2" s="155"/>
      <c r="H2" s="155"/>
      <c r="I2" s="155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</row>
    <row r="3" spans="1:24" ht="14.4" customHeight="1" thickBot="1">
      <c r="A3" s="182" t="s">
        <v>2</v>
      </c>
      <c r="B3" s="182" t="s">
        <v>142</v>
      </c>
      <c r="C3" s="182" t="s">
        <v>143</v>
      </c>
      <c r="D3" s="184" t="s">
        <v>33</v>
      </c>
      <c r="E3" s="185"/>
      <c r="F3" s="184" t="s">
        <v>144</v>
      </c>
      <c r="G3" s="185"/>
      <c r="H3" s="157" t="s">
        <v>6</v>
      </c>
      <c r="I3" s="158" t="s">
        <v>137</v>
      </c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</row>
    <row r="4" spans="1:24" ht="14.25" customHeight="1" thickBot="1">
      <c r="A4" s="183"/>
      <c r="B4" s="183"/>
      <c r="C4" s="183"/>
      <c r="D4" s="157" t="s">
        <v>7</v>
      </c>
      <c r="E4" s="157" t="s">
        <v>145</v>
      </c>
      <c r="F4" s="157" t="s">
        <v>7</v>
      </c>
      <c r="G4" s="157" t="s">
        <v>145</v>
      </c>
      <c r="H4" s="159"/>
      <c r="I4" s="158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</row>
    <row r="5" spans="1:24" ht="14.25" customHeight="1" thickBot="1">
      <c r="A5" s="160">
        <v>1</v>
      </c>
      <c r="B5" s="162">
        <v>1120092</v>
      </c>
      <c r="C5" s="163" t="s">
        <v>146</v>
      </c>
      <c r="D5" s="162">
        <v>2</v>
      </c>
      <c r="E5" s="162">
        <v>0</v>
      </c>
      <c r="F5" s="159"/>
      <c r="G5" s="159"/>
      <c r="H5" s="157" t="s">
        <v>51</v>
      </c>
      <c r="I5" s="158" t="s">
        <v>147</v>
      </c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</row>
    <row r="6" spans="1:24" ht="14.25" customHeight="1" thickBot="1">
      <c r="A6" s="160">
        <v>2</v>
      </c>
      <c r="B6" s="162">
        <v>1120102</v>
      </c>
      <c r="C6" s="163" t="s">
        <v>148</v>
      </c>
      <c r="D6" s="162">
        <v>2</v>
      </c>
      <c r="E6" s="162">
        <v>0</v>
      </c>
      <c r="F6" s="159"/>
      <c r="G6" s="159"/>
      <c r="H6" s="157" t="s">
        <v>51</v>
      </c>
      <c r="I6" s="158" t="s">
        <v>149</v>
      </c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</row>
    <row r="7" spans="1:24" ht="14.25" customHeight="1" thickBot="1">
      <c r="A7" s="160">
        <v>3</v>
      </c>
      <c r="B7" s="162">
        <v>1121113</v>
      </c>
      <c r="C7" s="163" t="s">
        <v>150</v>
      </c>
      <c r="D7" s="162">
        <v>0</v>
      </c>
      <c r="E7" s="162">
        <v>3</v>
      </c>
      <c r="F7" s="159"/>
      <c r="G7" s="159"/>
      <c r="H7" s="157" t="s">
        <v>51</v>
      </c>
      <c r="I7" s="158" t="s">
        <v>151</v>
      </c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</row>
    <row r="8" spans="1:24" ht="14.25" customHeight="1" thickBot="1">
      <c r="A8" s="160">
        <v>4</v>
      </c>
      <c r="B8" s="162">
        <v>1121123</v>
      </c>
      <c r="C8" s="163" t="s">
        <v>152</v>
      </c>
      <c r="D8" s="162">
        <v>0</v>
      </c>
      <c r="E8" s="162">
        <v>3</v>
      </c>
      <c r="F8" s="159"/>
      <c r="G8" s="159"/>
      <c r="H8" s="157" t="s">
        <v>51</v>
      </c>
      <c r="I8" s="158" t="s">
        <v>149</v>
      </c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</row>
    <row r="9" spans="1:24" ht="14.25" customHeight="1" thickBot="1">
      <c r="A9" s="160">
        <v>5</v>
      </c>
      <c r="B9" s="162">
        <v>1121132</v>
      </c>
      <c r="C9" s="163" t="s">
        <v>153</v>
      </c>
      <c r="D9" s="162">
        <v>0</v>
      </c>
      <c r="E9" s="162">
        <v>2</v>
      </c>
      <c r="F9" s="159"/>
      <c r="G9" s="159"/>
      <c r="H9" s="157" t="s">
        <v>51</v>
      </c>
      <c r="I9" s="158" t="s">
        <v>154</v>
      </c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</row>
    <row r="10" spans="1:24" ht="14.25" customHeight="1" thickBot="1">
      <c r="A10" s="160">
        <v>6</v>
      </c>
      <c r="B10" s="162">
        <v>1121143</v>
      </c>
      <c r="C10" s="163" t="s">
        <v>155</v>
      </c>
      <c r="D10" s="162">
        <v>0</v>
      </c>
      <c r="E10" s="162">
        <v>3</v>
      </c>
      <c r="F10" s="159"/>
      <c r="G10" s="159"/>
      <c r="H10" s="157" t="s">
        <v>51</v>
      </c>
      <c r="I10" s="158" t="s">
        <v>156</v>
      </c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</row>
    <row r="11" spans="1:24" ht="14.25" customHeight="1" thickBot="1">
      <c r="A11" s="160">
        <v>7</v>
      </c>
      <c r="B11" s="162">
        <v>12</v>
      </c>
      <c r="C11" s="163" t="s">
        <v>22</v>
      </c>
      <c r="D11" s="162">
        <v>2</v>
      </c>
      <c r="E11" s="162">
        <v>0</v>
      </c>
      <c r="F11" s="159"/>
      <c r="G11" s="159"/>
      <c r="H11" s="157" t="s">
        <v>51</v>
      </c>
      <c r="I11" s="158" t="s">
        <v>157</v>
      </c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</row>
    <row r="12" spans="1:24" ht="14.25" customHeight="1" thickBot="1">
      <c r="A12" s="160">
        <v>8</v>
      </c>
      <c r="B12" s="162">
        <v>42</v>
      </c>
      <c r="C12" s="163" t="s">
        <v>110</v>
      </c>
      <c r="D12" s="162">
        <v>2</v>
      </c>
      <c r="E12" s="162">
        <v>0</v>
      </c>
      <c r="F12" s="159"/>
      <c r="G12" s="159"/>
      <c r="H12" s="157" t="s">
        <v>51</v>
      </c>
      <c r="I12" s="158" t="s">
        <v>158</v>
      </c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</row>
    <row r="13" spans="1:24" ht="14.25" customHeight="1" thickBot="1">
      <c r="A13" s="164"/>
      <c r="B13" s="158"/>
      <c r="C13" s="158"/>
      <c r="D13" s="159"/>
      <c r="E13" s="159"/>
      <c r="F13" s="159"/>
      <c r="G13" s="159"/>
      <c r="H13" s="159"/>
      <c r="I13" s="158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</row>
    <row r="14" spans="1:24" ht="14.4" customHeight="1" thickBot="1">
      <c r="A14" s="186" t="s">
        <v>97</v>
      </c>
      <c r="B14" s="187"/>
      <c r="C14" s="188"/>
      <c r="D14" s="165">
        <v>8</v>
      </c>
      <c r="E14" s="165">
        <v>11</v>
      </c>
      <c r="F14" s="165">
        <v>0</v>
      </c>
      <c r="G14" s="165">
        <v>0</v>
      </c>
      <c r="H14" s="165">
        <v>0</v>
      </c>
      <c r="I14" s="158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</row>
    <row r="15" spans="1:24" ht="14.4" customHeight="1" thickBot="1">
      <c r="A15" s="189" t="s">
        <v>159</v>
      </c>
      <c r="B15" s="190"/>
      <c r="C15" s="191"/>
      <c r="D15" s="189">
        <v>19</v>
      </c>
      <c r="E15" s="191"/>
      <c r="F15" s="158"/>
      <c r="G15" s="158"/>
      <c r="H15" s="158"/>
      <c r="I15" s="158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</row>
    <row r="16" spans="1:24" ht="14.25" customHeight="1" thickBot="1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</row>
    <row r="17" spans="1:24" ht="14.25" customHeight="1" thickBot="1">
      <c r="A17" s="154" t="s">
        <v>34</v>
      </c>
      <c r="B17" s="155"/>
      <c r="C17" s="155" t="s">
        <v>160</v>
      </c>
      <c r="D17" s="155"/>
      <c r="E17" s="155"/>
      <c r="F17" s="155"/>
      <c r="G17" s="155"/>
      <c r="H17" s="155"/>
      <c r="I17" s="155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</row>
    <row r="18" spans="1:24" ht="14.4" customHeight="1" thickBot="1">
      <c r="A18" s="182" t="s">
        <v>2</v>
      </c>
      <c r="B18" s="182" t="s">
        <v>142</v>
      </c>
      <c r="C18" s="182" t="s">
        <v>143</v>
      </c>
      <c r="D18" s="184" t="s">
        <v>33</v>
      </c>
      <c r="E18" s="185"/>
      <c r="F18" s="184" t="s">
        <v>144</v>
      </c>
      <c r="G18" s="185"/>
      <c r="H18" s="157" t="s">
        <v>6</v>
      </c>
      <c r="I18" s="158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</row>
    <row r="19" spans="1:24" ht="14.25" customHeight="1" thickBot="1">
      <c r="A19" s="183"/>
      <c r="B19" s="183"/>
      <c r="C19" s="183"/>
      <c r="D19" s="157" t="s">
        <v>7</v>
      </c>
      <c r="E19" s="157" t="s">
        <v>145</v>
      </c>
      <c r="F19" s="157" t="s">
        <v>7</v>
      </c>
      <c r="G19" s="157" t="s">
        <v>145</v>
      </c>
      <c r="H19" s="159"/>
      <c r="I19" s="158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</row>
    <row r="20" spans="1:24" ht="14.25" customHeight="1" thickBot="1">
      <c r="A20" s="166">
        <v>1</v>
      </c>
      <c r="B20" s="167">
        <v>1140282</v>
      </c>
      <c r="C20" s="168" t="s">
        <v>161</v>
      </c>
      <c r="D20" s="161">
        <v>2</v>
      </c>
      <c r="E20" s="161">
        <v>0</v>
      </c>
      <c r="F20" s="158"/>
      <c r="G20" s="158"/>
      <c r="H20" s="157" t="s">
        <v>51</v>
      </c>
      <c r="I20" s="158" t="s">
        <v>162</v>
      </c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</row>
    <row r="21" spans="1:24" ht="14.25" customHeight="1" thickBot="1">
      <c r="A21" s="166">
        <v>2</v>
      </c>
      <c r="B21" s="167">
        <v>1141292</v>
      </c>
      <c r="C21" s="168" t="s">
        <v>163</v>
      </c>
      <c r="D21" s="161">
        <v>2</v>
      </c>
      <c r="E21" s="161">
        <v>0</v>
      </c>
      <c r="F21" s="158"/>
      <c r="G21" s="158"/>
      <c r="H21" s="157" t="s">
        <v>51</v>
      </c>
      <c r="I21" s="158" t="s">
        <v>164</v>
      </c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</row>
    <row r="22" spans="1:24" ht="14.25" customHeight="1" thickBot="1">
      <c r="A22" s="166">
        <v>3</v>
      </c>
      <c r="B22" s="167">
        <v>1141302</v>
      </c>
      <c r="C22" s="168" t="s">
        <v>165</v>
      </c>
      <c r="D22" s="161">
        <v>0</v>
      </c>
      <c r="E22" s="161">
        <v>2</v>
      </c>
      <c r="F22" s="158"/>
      <c r="G22" s="158"/>
      <c r="H22" s="157" t="s">
        <v>51</v>
      </c>
      <c r="I22" s="158" t="s">
        <v>166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</row>
    <row r="23" spans="1:24" ht="14.25" customHeight="1" thickBot="1">
      <c r="A23" s="166">
        <v>4</v>
      </c>
      <c r="B23" s="167">
        <v>1140312</v>
      </c>
      <c r="C23" s="168" t="s">
        <v>167</v>
      </c>
      <c r="D23" s="161">
        <v>0</v>
      </c>
      <c r="E23" s="161">
        <v>2</v>
      </c>
      <c r="F23" s="158"/>
      <c r="G23" s="158"/>
      <c r="H23" s="157" t="s">
        <v>51</v>
      </c>
      <c r="I23" s="158" t="s">
        <v>166</v>
      </c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</row>
    <row r="24" spans="1:24" ht="14.25" customHeight="1" thickBot="1">
      <c r="A24" s="166">
        <v>5</v>
      </c>
      <c r="B24" s="167">
        <v>1140322</v>
      </c>
      <c r="C24" s="168" t="s">
        <v>80</v>
      </c>
      <c r="D24" s="161">
        <v>2</v>
      </c>
      <c r="E24" s="161">
        <v>0</v>
      </c>
      <c r="F24" s="158"/>
      <c r="G24" s="158"/>
      <c r="H24" s="157" t="s">
        <v>51</v>
      </c>
      <c r="I24" s="158" t="s">
        <v>168</v>
      </c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</row>
    <row r="25" spans="1:24" ht="14.25" customHeight="1" thickBot="1">
      <c r="A25" s="166">
        <v>6</v>
      </c>
      <c r="B25" s="167">
        <v>1141332</v>
      </c>
      <c r="C25" s="168" t="s">
        <v>169</v>
      </c>
      <c r="D25" s="161">
        <v>0</v>
      </c>
      <c r="E25" s="161">
        <v>2</v>
      </c>
      <c r="F25" s="158"/>
      <c r="G25" s="158"/>
      <c r="H25" s="157" t="s">
        <v>51</v>
      </c>
      <c r="I25" s="158" t="s">
        <v>49</v>
      </c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</row>
    <row r="26" spans="1:24" ht="14.25" customHeight="1" thickBot="1">
      <c r="A26" s="166">
        <v>7</v>
      </c>
      <c r="B26" s="167">
        <v>1141342</v>
      </c>
      <c r="C26" s="168" t="s">
        <v>170</v>
      </c>
      <c r="D26" s="161">
        <v>0</v>
      </c>
      <c r="E26" s="161">
        <v>2</v>
      </c>
      <c r="F26" s="158"/>
      <c r="G26" s="158"/>
      <c r="H26" s="157" t="s">
        <v>51</v>
      </c>
      <c r="I26" s="158" t="s">
        <v>154</v>
      </c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</row>
    <row r="27" spans="1:24" ht="14.25" customHeight="1" thickBot="1">
      <c r="A27" s="166">
        <v>8</v>
      </c>
      <c r="B27" s="167">
        <v>1140352</v>
      </c>
      <c r="C27" s="168" t="s">
        <v>138</v>
      </c>
      <c r="D27" s="161">
        <v>2</v>
      </c>
      <c r="E27" s="161">
        <v>0</v>
      </c>
      <c r="F27" s="158"/>
      <c r="G27" s="158"/>
      <c r="H27" s="157" t="s">
        <v>51</v>
      </c>
      <c r="I27" s="158" t="s">
        <v>171</v>
      </c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</row>
    <row r="28" spans="1:24" ht="14.25" customHeight="1" thickBot="1">
      <c r="A28" s="166">
        <v>9</v>
      </c>
      <c r="B28" s="167">
        <v>1140362</v>
      </c>
      <c r="C28" s="168" t="s">
        <v>172</v>
      </c>
      <c r="D28" s="161">
        <v>2</v>
      </c>
      <c r="E28" s="161">
        <v>0</v>
      </c>
      <c r="F28" s="158"/>
      <c r="G28" s="158"/>
      <c r="H28" s="157" t="s">
        <v>51</v>
      </c>
      <c r="I28" s="158" t="s">
        <v>162</v>
      </c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</row>
    <row r="29" spans="1:24" ht="29.4" thickBot="1">
      <c r="A29" s="166">
        <v>10</v>
      </c>
      <c r="B29" s="167">
        <v>42</v>
      </c>
      <c r="C29" s="168" t="s">
        <v>110</v>
      </c>
      <c r="D29" s="161">
        <v>2</v>
      </c>
      <c r="E29" s="161">
        <v>0</v>
      </c>
      <c r="F29" s="158"/>
      <c r="G29" s="158"/>
      <c r="H29" s="157" t="s">
        <v>51</v>
      </c>
      <c r="I29" s="158" t="s">
        <v>173</v>
      </c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</row>
    <row r="30" spans="1:24" ht="14.25" customHeight="1" thickBot="1">
      <c r="A30" s="164"/>
      <c r="B30" s="158"/>
      <c r="C30" s="158"/>
      <c r="D30" s="158"/>
      <c r="E30" s="158"/>
      <c r="F30" s="158"/>
      <c r="G30" s="158"/>
      <c r="H30" s="159"/>
      <c r="I30" s="158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</row>
    <row r="31" spans="1:24" ht="14.4" customHeight="1" thickBot="1">
      <c r="A31" s="186" t="s">
        <v>97</v>
      </c>
      <c r="B31" s="187"/>
      <c r="C31" s="188"/>
      <c r="D31" s="165">
        <v>12</v>
      </c>
      <c r="E31" s="165">
        <v>8</v>
      </c>
      <c r="F31" s="165">
        <v>0</v>
      </c>
      <c r="G31" s="165">
        <v>0</v>
      </c>
      <c r="H31" s="165">
        <v>0</v>
      </c>
      <c r="I31" s="158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</row>
    <row r="32" spans="1:24" ht="14.4" customHeight="1" thickBot="1">
      <c r="A32" s="189" t="s">
        <v>159</v>
      </c>
      <c r="B32" s="190"/>
      <c r="C32" s="191"/>
      <c r="D32" s="189">
        <v>20</v>
      </c>
      <c r="E32" s="191"/>
      <c r="F32" s="158"/>
      <c r="G32" s="158"/>
      <c r="H32" s="158"/>
      <c r="I32" s="158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</row>
    <row r="33" spans="1:24" ht="14.25" customHeight="1" thickBo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</row>
    <row r="34" spans="1:24" ht="14.25" customHeight="1" thickBo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</row>
    <row r="35" spans="1:24" ht="14.25" customHeight="1" thickBot="1">
      <c r="A35" s="154" t="s">
        <v>125</v>
      </c>
      <c r="B35" s="155"/>
      <c r="C35" s="155" t="s">
        <v>160</v>
      </c>
      <c r="D35" s="155"/>
      <c r="E35" s="155"/>
      <c r="F35" s="155"/>
      <c r="G35" s="155"/>
      <c r="H35" s="155"/>
      <c r="I35" s="155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</row>
    <row r="36" spans="1:24" ht="14.4" customHeight="1" thickBot="1">
      <c r="A36" s="182" t="s">
        <v>2</v>
      </c>
      <c r="B36" s="182" t="s">
        <v>142</v>
      </c>
      <c r="C36" s="182" t="s">
        <v>143</v>
      </c>
      <c r="D36" s="184" t="s">
        <v>33</v>
      </c>
      <c r="E36" s="185"/>
      <c r="F36" s="184" t="s">
        <v>144</v>
      </c>
      <c r="G36" s="185"/>
      <c r="H36" s="157" t="s">
        <v>6</v>
      </c>
      <c r="I36" s="158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</row>
    <row r="37" spans="1:24" ht="14.25" customHeight="1" thickBot="1">
      <c r="A37" s="183"/>
      <c r="B37" s="183"/>
      <c r="C37" s="183"/>
      <c r="D37" s="157" t="s">
        <v>7</v>
      </c>
      <c r="E37" s="157" t="s">
        <v>145</v>
      </c>
      <c r="F37" s="157" t="s">
        <v>7</v>
      </c>
      <c r="G37" s="157" t="s">
        <v>145</v>
      </c>
      <c r="H37" s="159"/>
      <c r="I37" s="158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</row>
    <row r="38" spans="1:24" ht="14.25" customHeight="1" thickBot="1">
      <c r="A38" s="166">
        <v>1</v>
      </c>
      <c r="B38" s="167">
        <v>1161452</v>
      </c>
      <c r="C38" s="168" t="s">
        <v>174</v>
      </c>
      <c r="D38" s="161">
        <v>0</v>
      </c>
      <c r="E38" s="161">
        <v>2</v>
      </c>
      <c r="F38" s="158"/>
      <c r="G38" s="158"/>
      <c r="H38" s="157" t="s">
        <v>14</v>
      </c>
      <c r="I38" s="158" t="s">
        <v>175</v>
      </c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</row>
    <row r="39" spans="1:24" ht="14.25" customHeight="1" thickBot="1">
      <c r="A39" s="166">
        <v>2</v>
      </c>
      <c r="B39" s="167">
        <v>1161462</v>
      </c>
      <c r="C39" s="168" t="s">
        <v>176</v>
      </c>
      <c r="D39" s="161">
        <v>0</v>
      </c>
      <c r="E39" s="161">
        <v>2</v>
      </c>
      <c r="F39" s="158"/>
      <c r="G39" s="158"/>
      <c r="H39" s="157" t="s">
        <v>14</v>
      </c>
      <c r="I39" s="158" t="s">
        <v>175</v>
      </c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</row>
    <row r="40" spans="1:24" ht="14.25" customHeight="1" thickBot="1">
      <c r="A40" s="166">
        <v>3</v>
      </c>
      <c r="B40" s="167">
        <v>1161472</v>
      </c>
      <c r="C40" s="168" t="s">
        <v>177</v>
      </c>
      <c r="D40" s="161">
        <v>0</v>
      </c>
      <c r="E40" s="161">
        <v>2</v>
      </c>
      <c r="F40" s="158"/>
      <c r="G40" s="158"/>
      <c r="H40" s="157" t="s">
        <v>14</v>
      </c>
      <c r="I40" s="155" t="s">
        <v>178</v>
      </c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</row>
    <row r="41" spans="1:24" ht="14.25" customHeight="1" thickBot="1">
      <c r="A41" s="166">
        <v>4</v>
      </c>
      <c r="B41" s="167">
        <v>1160482</v>
      </c>
      <c r="C41" s="168" t="s">
        <v>179</v>
      </c>
      <c r="D41" s="161">
        <v>2</v>
      </c>
      <c r="E41" s="161">
        <v>0</v>
      </c>
      <c r="F41" s="158"/>
      <c r="G41" s="158"/>
      <c r="H41" s="157" t="s">
        <v>14</v>
      </c>
      <c r="I41" s="158" t="s">
        <v>180</v>
      </c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</row>
    <row r="42" spans="1:24" ht="14.25" customHeight="1" thickBot="1">
      <c r="A42" s="166">
        <v>5</v>
      </c>
      <c r="B42" s="167">
        <v>1160492</v>
      </c>
      <c r="C42" s="168" t="s">
        <v>181</v>
      </c>
      <c r="D42" s="161">
        <v>0</v>
      </c>
      <c r="E42" s="161">
        <v>2</v>
      </c>
      <c r="F42" s="158"/>
      <c r="G42" s="158"/>
      <c r="H42" s="157" t="s">
        <v>14</v>
      </c>
      <c r="I42" s="158" t="s">
        <v>175</v>
      </c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</row>
    <row r="43" spans="1:24" ht="14.25" customHeight="1" thickBot="1">
      <c r="A43" s="166">
        <v>6</v>
      </c>
      <c r="B43" s="167">
        <v>1160502</v>
      </c>
      <c r="C43" s="168" t="s">
        <v>46</v>
      </c>
      <c r="D43" s="161">
        <v>2</v>
      </c>
      <c r="E43" s="161">
        <v>0</v>
      </c>
      <c r="F43" s="158"/>
      <c r="G43" s="158"/>
      <c r="H43" s="157" t="s">
        <v>14</v>
      </c>
      <c r="I43" s="158" t="s">
        <v>182</v>
      </c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</row>
    <row r="44" spans="1:24" ht="14.25" customHeight="1" thickBot="1">
      <c r="A44" s="166">
        <v>7</v>
      </c>
      <c r="B44" s="167">
        <v>1160512</v>
      </c>
      <c r="C44" s="168" t="s">
        <v>44</v>
      </c>
      <c r="D44" s="161">
        <v>2</v>
      </c>
      <c r="E44" s="161">
        <v>0</v>
      </c>
      <c r="F44" s="158"/>
      <c r="G44" s="158"/>
      <c r="H44" s="157" t="s">
        <v>14</v>
      </c>
      <c r="I44" s="158" t="s">
        <v>151</v>
      </c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</row>
    <row r="45" spans="1:24" ht="14.25" customHeight="1" thickBot="1">
      <c r="A45" s="166">
        <v>8</v>
      </c>
      <c r="B45" s="167">
        <v>1160522</v>
      </c>
      <c r="C45" s="168" t="s">
        <v>183</v>
      </c>
      <c r="D45" s="161">
        <v>2</v>
      </c>
      <c r="E45" s="161">
        <v>0</v>
      </c>
      <c r="F45" s="158"/>
      <c r="G45" s="158"/>
      <c r="H45" s="157" t="s">
        <v>14</v>
      </c>
      <c r="I45" s="158" t="s">
        <v>164</v>
      </c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</row>
    <row r="46" spans="1:24" ht="29.4" thickBot="1">
      <c r="A46" s="169">
        <v>9</v>
      </c>
      <c r="B46" s="171">
        <v>1160532</v>
      </c>
      <c r="C46" s="173" t="s">
        <v>184</v>
      </c>
      <c r="D46" s="170">
        <v>2</v>
      </c>
      <c r="E46" s="170">
        <v>0</v>
      </c>
      <c r="F46" s="172"/>
      <c r="G46" s="172"/>
      <c r="H46" s="174" t="s">
        <v>14</v>
      </c>
      <c r="I46" s="172" t="s">
        <v>185</v>
      </c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</row>
    <row r="47" spans="1:24" ht="14.25" customHeight="1" thickBot="1">
      <c r="A47" s="166">
        <v>10</v>
      </c>
      <c r="B47" s="167">
        <v>1160542</v>
      </c>
      <c r="C47" s="168" t="s">
        <v>186</v>
      </c>
      <c r="D47" s="161">
        <v>2</v>
      </c>
      <c r="E47" s="161">
        <v>0</v>
      </c>
      <c r="F47" s="158"/>
      <c r="G47" s="158"/>
      <c r="H47" s="157" t="s">
        <v>14</v>
      </c>
      <c r="I47" s="158" t="s">
        <v>156</v>
      </c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</row>
    <row r="48" spans="1:24" ht="14.25" customHeight="1" thickBot="1">
      <c r="A48" s="164"/>
      <c r="B48" s="158"/>
      <c r="C48" s="158"/>
      <c r="D48" s="158"/>
      <c r="E48" s="158"/>
      <c r="F48" s="158"/>
      <c r="G48" s="158"/>
      <c r="H48" s="159"/>
      <c r="I48" s="158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</row>
    <row r="49" spans="1:24" ht="14.4" customHeight="1" thickBot="1">
      <c r="A49" s="186" t="s">
        <v>97</v>
      </c>
      <c r="B49" s="187"/>
      <c r="C49" s="188"/>
      <c r="D49" s="165">
        <v>12</v>
      </c>
      <c r="E49" s="165">
        <v>8</v>
      </c>
      <c r="F49" s="165">
        <v>0</v>
      </c>
      <c r="G49" s="165">
        <v>0</v>
      </c>
      <c r="H49" s="165">
        <v>0</v>
      </c>
      <c r="I49" s="158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</row>
    <row r="50" spans="1:24" ht="14.4" customHeight="1" thickBot="1">
      <c r="A50" s="189" t="s">
        <v>159</v>
      </c>
      <c r="B50" s="190"/>
      <c r="C50" s="191"/>
      <c r="D50" s="189">
        <v>20</v>
      </c>
      <c r="E50" s="191"/>
      <c r="F50" s="158"/>
      <c r="G50" s="158"/>
      <c r="H50" s="158"/>
      <c r="I50" s="158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</row>
    <row r="51" spans="1:24" ht="14.25" customHeight="1" thickBot="1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</row>
    <row r="52" spans="1:24" ht="14.25" customHeight="1" thickBot="1">
      <c r="A52" s="156"/>
      <c r="B52" s="156"/>
      <c r="C52" s="156"/>
      <c r="D52" s="156"/>
      <c r="E52" s="156"/>
      <c r="F52" s="156"/>
      <c r="G52" s="156"/>
      <c r="H52" s="156"/>
      <c r="I52" s="175" t="s">
        <v>126</v>
      </c>
      <c r="J52" s="175" t="s">
        <v>187</v>
      </c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</row>
    <row r="53" spans="1:24" ht="14.25" customHeight="1" thickBot="1">
      <c r="A53" s="156"/>
      <c r="B53" s="156"/>
      <c r="C53" s="156"/>
      <c r="D53" s="156"/>
      <c r="E53" s="156"/>
      <c r="F53" s="156"/>
      <c r="G53" s="156"/>
      <c r="H53" s="156"/>
      <c r="I53" s="156" t="s">
        <v>162</v>
      </c>
      <c r="J53" s="176" t="s">
        <v>139</v>
      </c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</row>
    <row r="54" spans="1:24" ht="14.25" customHeight="1" thickBot="1">
      <c r="A54" s="156"/>
      <c r="B54" s="156"/>
      <c r="C54" s="156"/>
      <c r="D54" s="156"/>
      <c r="E54" s="156"/>
      <c r="F54" s="156"/>
      <c r="G54" s="156"/>
      <c r="H54" s="156"/>
      <c r="I54" s="156" t="s">
        <v>164</v>
      </c>
      <c r="J54" s="176" t="s">
        <v>139</v>
      </c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</row>
    <row r="55" spans="1:24" ht="14.25" customHeight="1" thickBot="1">
      <c r="A55" s="156"/>
      <c r="B55" s="156"/>
      <c r="C55" s="156"/>
      <c r="D55" s="156"/>
      <c r="E55" s="156"/>
      <c r="F55" s="156"/>
      <c r="G55" s="156"/>
      <c r="H55" s="156"/>
      <c r="I55" s="156" t="s">
        <v>156</v>
      </c>
      <c r="J55" s="176" t="s">
        <v>139</v>
      </c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</row>
    <row r="56" spans="1:24" ht="14.25" customHeight="1" thickBot="1">
      <c r="A56" s="156"/>
      <c r="B56" s="156"/>
      <c r="C56" s="156"/>
      <c r="D56" s="156"/>
      <c r="E56" s="156"/>
      <c r="F56" s="156"/>
      <c r="G56" s="156"/>
      <c r="H56" s="156"/>
      <c r="I56" s="156" t="s">
        <v>149</v>
      </c>
      <c r="J56" s="176" t="s">
        <v>139</v>
      </c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 ht="14.25" customHeight="1" thickBot="1">
      <c r="A57" s="156"/>
      <c r="B57" s="156"/>
      <c r="C57" s="156"/>
      <c r="D57" s="156"/>
      <c r="E57" s="156"/>
      <c r="F57" s="156"/>
      <c r="G57" s="156"/>
      <c r="H57" s="156"/>
      <c r="I57" s="156" t="s">
        <v>151</v>
      </c>
      <c r="J57" s="176" t="s">
        <v>139</v>
      </c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  <row r="58" spans="1:24" ht="14.25" customHeight="1" thickBot="1">
      <c r="A58" s="156"/>
      <c r="B58" s="156"/>
      <c r="C58" s="156"/>
      <c r="D58" s="156"/>
      <c r="E58" s="156"/>
      <c r="F58" s="156"/>
      <c r="G58" s="156"/>
      <c r="H58" s="156"/>
      <c r="I58" s="156" t="s">
        <v>175</v>
      </c>
      <c r="J58" s="176" t="s">
        <v>139</v>
      </c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</row>
    <row r="59" spans="1:24" ht="14.25" customHeight="1" thickBot="1">
      <c r="A59" s="156"/>
      <c r="B59" s="156"/>
      <c r="C59" s="156"/>
      <c r="D59" s="156"/>
      <c r="E59" s="156"/>
      <c r="F59" s="156"/>
      <c r="G59" s="156"/>
      <c r="H59" s="156"/>
      <c r="I59" s="156" t="s">
        <v>154</v>
      </c>
      <c r="J59" s="176" t="s">
        <v>139</v>
      </c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</row>
    <row r="60" spans="1:24" ht="14.25" customHeight="1" thickBot="1">
      <c r="A60" s="156"/>
      <c r="B60" s="156"/>
      <c r="C60" s="156"/>
      <c r="D60" s="156"/>
      <c r="E60" s="156"/>
      <c r="F60" s="156"/>
      <c r="G60" s="156"/>
      <c r="H60" s="156"/>
      <c r="I60" s="156" t="s">
        <v>168</v>
      </c>
      <c r="J60" s="177" t="s">
        <v>188</v>
      </c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</row>
    <row r="61" spans="1:24" ht="14.25" customHeight="1" thickBot="1">
      <c r="A61" s="156"/>
      <c r="B61" s="156"/>
      <c r="C61" s="156"/>
      <c r="D61" s="156"/>
      <c r="E61" s="156"/>
      <c r="F61" s="156"/>
      <c r="G61" s="156"/>
      <c r="H61" s="156"/>
      <c r="I61" s="156" t="s">
        <v>147</v>
      </c>
      <c r="J61" s="178" t="s">
        <v>189</v>
      </c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</row>
    <row r="62" spans="1:24" ht="14.25" customHeight="1" thickBot="1">
      <c r="A62" s="156"/>
      <c r="B62" s="156"/>
      <c r="C62" s="156"/>
      <c r="D62" s="156"/>
      <c r="E62" s="156"/>
      <c r="F62" s="156"/>
      <c r="G62" s="156"/>
      <c r="H62" s="156"/>
      <c r="I62" s="156" t="s">
        <v>171</v>
      </c>
      <c r="J62" s="179" t="s">
        <v>190</v>
      </c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</row>
    <row r="63" spans="1:24" ht="14.25" customHeight="1" thickBot="1">
      <c r="A63" s="156"/>
      <c r="B63" s="156"/>
      <c r="C63" s="156"/>
      <c r="D63" s="156"/>
      <c r="E63" s="156"/>
      <c r="F63" s="156"/>
      <c r="G63" s="156"/>
      <c r="H63" s="156"/>
      <c r="I63" s="156" t="s">
        <v>166</v>
      </c>
      <c r="J63" s="180" t="s">
        <v>191</v>
      </c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</row>
    <row r="64" spans="1:24" ht="14.25" customHeight="1" thickBot="1">
      <c r="A64" s="156"/>
      <c r="B64" s="156"/>
      <c r="C64" s="156"/>
      <c r="D64" s="156"/>
      <c r="E64" s="156"/>
      <c r="F64" s="156"/>
      <c r="G64" s="156"/>
      <c r="H64" s="156"/>
      <c r="I64" s="156" t="s">
        <v>180</v>
      </c>
      <c r="J64" s="181" t="s">
        <v>188</v>
      </c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</row>
    <row r="65" spans="1:24" ht="14.25" customHeight="1" thickBot="1">
      <c r="A65" s="156"/>
      <c r="B65" s="156"/>
      <c r="C65" s="156"/>
      <c r="D65" s="156"/>
      <c r="E65" s="156"/>
      <c r="F65" s="156"/>
      <c r="G65" s="156"/>
      <c r="H65" s="156"/>
      <c r="I65" s="156" t="s">
        <v>157</v>
      </c>
      <c r="J65" s="180" t="s">
        <v>191</v>
      </c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</row>
    <row r="66" spans="1:24" ht="14.25" customHeight="1" thickBot="1">
      <c r="A66" s="156"/>
      <c r="B66" s="156"/>
      <c r="C66" s="156"/>
      <c r="D66" s="156"/>
      <c r="E66" s="156"/>
      <c r="F66" s="156"/>
      <c r="G66" s="156"/>
      <c r="H66" s="156"/>
      <c r="I66" s="156" t="s">
        <v>43</v>
      </c>
      <c r="J66" s="178" t="s">
        <v>189</v>
      </c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</row>
    <row r="67" spans="1:24" ht="14.25" customHeight="1" thickBot="1">
      <c r="A67" s="156"/>
      <c r="B67" s="156"/>
      <c r="C67" s="156"/>
      <c r="D67" s="156"/>
      <c r="E67" s="156"/>
      <c r="F67" s="156"/>
      <c r="G67" s="156"/>
      <c r="H67" s="156"/>
      <c r="I67" s="156" t="s">
        <v>182</v>
      </c>
      <c r="J67" s="180" t="s">
        <v>191</v>
      </c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</row>
    <row r="68" spans="1:24" ht="14.25" customHeight="1" thickBot="1">
      <c r="A68" s="156"/>
      <c r="B68" s="156"/>
      <c r="C68" s="156"/>
      <c r="D68" s="156"/>
      <c r="E68" s="156"/>
      <c r="F68" s="156"/>
      <c r="G68" s="156"/>
      <c r="H68" s="156"/>
      <c r="I68" s="156" t="s">
        <v>49</v>
      </c>
      <c r="J68" s="178" t="s">
        <v>189</v>
      </c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</row>
    <row r="69" spans="1:24" ht="14.25" customHeight="1" thickBot="1">
      <c r="A69" s="156"/>
      <c r="B69" s="156"/>
      <c r="C69" s="156"/>
      <c r="D69" s="156"/>
      <c r="E69" s="156"/>
      <c r="F69" s="156"/>
      <c r="G69" s="156"/>
      <c r="H69" s="156"/>
      <c r="I69" s="156" t="s">
        <v>178</v>
      </c>
      <c r="J69" s="179" t="s">
        <v>190</v>
      </c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</row>
    <row r="70" spans="1:24" ht="14.25" customHeight="1" thickBot="1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</row>
    <row r="71" spans="1:24" ht="14.25" customHeight="1" thickBot="1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</row>
    <row r="72" spans="1:24" ht="14.25" customHeight="1" thickBot="1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</row>
    <row r="73" spans="1:24" ht="14.25" customHeight="1" thickBot="1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</row>
    <row r="74" spans="1:24" ht="14.25" customHeight="1" thickBot="1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</row>
    <row r="75" spans="1:24" ht="14.25" customHeight="1" thickBot="1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</row>
    <row r="76" spans="1:24" ht="14.25" customHeight="1" thickBot="1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</row>
    <row r="77" spans="1:24" ht="14.25" customHeight="1" thickBot="1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</row>
    <row r="78" spans="1:24" ht="14.25" customHeight="1" thickBot="1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</row>
    <row r="79" spans="1:24" ht="14.25" customHeight="1" thickBot="1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</row>
    <row r="80" spans="1:24" ht="14.25" customHeight="1" thickBot="1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</row>
    <row r="81" spans="1:24" ht="14.25" customHeight="1" thickBot="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</row>
    <row r="82" spans="1:24" ht="14.25" customHeight="1" thickBot="1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</row>
    <row r="83" spans="1:24" ht="14.25" customHeight="1" thickBot="1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</row>
    <row r="84" spans="1:24" ht="14.25" customHeight="1" thickBot="1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</row>
    <row r="85" spans="1:24" ht="14.25" customHeight="1" thickBot="1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</row>
    <row r="86" spans="1:24" ht="14.25" customHeight="1" thickBot="1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</row>
    <row r="87" spans="1:24" ht="14.25" customHeight="1" thickBot="1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</row>
    <row r="88" spans="1:24" ht="14.25" customHeight="1" thickBot="1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</row>
    <row r="89" spans="1:24" ht="14.25" customHeight="1" thickBot="1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</row>
    <row r="90" spans="1:24" ht="14.25" customHeight="1" thickBot="1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</row>
    <row r="91" spans="1:24" ht="14.25" customHeight="1" thickBot="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</row>
    <row r="92" spans="1:24" ht="14.25" customHeight="1" thickBot="1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</row>
    <row r="93" spans="1:24" ht="14.25" customHeight="1" thickBot="1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</row>
    <row r="94" spans="1:24" ht="14.25" customHeight="1" thickBot="1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</row>
    <row r="95" spans="1:24" ht="14.25" customHeight="1" thickBot="1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</row>
    <row r="96" spans="1:24" ht="14.25" customHeight="1" thickBot="1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</row>
    <row r="97" spans="1:24" ht="14.25" customHeight="1" thickBot="1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</row>
    <row r="98" spans="1:24" ht="14.25" customHeight="1" thickBot="1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</row>
    <row r="99" spans="1:24" ht="14.25" customHeight="1" thickBot="1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</row>
    <row r="100" spans="1:24" ht="14.25" customHeight="1" thickBot="1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</row>
    <row r="101" spans="1:24" ht="14.25" customHeight="1" thickBot="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</row>
    <row r="102" spans="1:24" ht="14.25" customHeight="1" thickBot="1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</row>
    <row r="103" spans="1:24" ht="14.25" customHeight="1" thickBot="1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</row>
    <row r="104" spans="1:24" ht="14.25" customHeight="1" thickBot="1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</row>
    <row r="105" spans="1:24" ht="14.25" customHeight="1" thickBot="1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</row>
    <row r="106" spans="1:24" ht="14.25" customHeight="1" thickBot="1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</row>
    <row r="107" spans="1:24" ht="14.25" customHeight="1" thickBot="1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</row>
    <row r="108" spans="1:24" ht="14.25" customHeight="1" thickBot="1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</row>
    <row r="109" spans="1:24" ht="14.25" customHeight="1" thickBot="1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</row>
    <row r="110" spans="1:24" ht="14.25" customHeight="1" thickBot="1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</row>
    <row r="111" spans="1:24" ht="14.25" customHeight="1" thickBot="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</row>
    <row r="112" spans="1:24" ht="14.25" customHeight="1" thickBot="1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</row>
    <row r="113" spans="1:24" ht="14.25" customHeight="1" thickBot="1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</row>
    <row r="114" spans="1:24" ht="14.25" customHeight="1" thickBot="1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</row>
    <row r="115" spans="1:24" ht="14.25" customHeight="1" thickBot="1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</row>
    <row r="116" spans="1:24" ht="14.25" customHeight="1" thickBot="1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</row>
    <row r="117" spans="1:24" ht="14.25" customHeight="1" thickBot="1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</row>
    <row r="118" spans="1:24" ht="14.25" customHeight="1" thickBot="1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</row>
    <row r="119" spans="1:24" ht="14.25" customHeight="1" thickBot="1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</row>
    <row r="120" spans="1:24" ht="14.25" customHeight="1" thickBot="1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</row>
    <row r="121" spans="1:24" ht="14.25" customHeight="1" thickBot="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</row>
    <row r="122" spans="1:24" ht="14.25" customHeight="1" thickBot="1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</row>
    <row r="123" spans="1:24" ht="14.25" customHeight="1" thickBot="1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</row>
    <row r="124" spans="1:24" ht="14.25" customHeight="1" thickBot="1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</row>
    <row r="125" spans="1:24" ht="14.25" customHeight="1" thickBot="1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</row>
    <row r="126" spans="1:24" ht="14.25" customHeight="1" thickBot="1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</row>
    <row r="127" spans="1:24" ht="14.25" customHeight="1" thickBot="1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</row>
    <row r="128" spans="1:24" ht="14.25" customHeight="1" thickBot="1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</row>
    <row r="129" spans="1:24" ht="14.25" customHeight="1" thickBot="1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</row>
    <row r="130" spans="1:24" ht="14.25" customHeight="1" thickBot="1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</row>
    <row r="131" spans="1:24" ht="14.25" customHeight="1" thickBot="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</row>
    <row r="132" spans="1:24" ht="14.25" customHeight="1" thickBot="1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</row>
    <row r="133" spans="1:24" ht="14.25" customHeight="1" thickBot="1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</row>
    <row r="134" spans="1:24" ht="14.25" customHeight="1" thickBot="1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</row>
    <row r="135" spans="1:24" ht="14.25" customHeight="1" thickBot="1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</row>
    <row r="136" spans="1:24" ht="14.25" customHeight="1" thickBot="1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</row>
    <row r="137" spans="1:24" ht="14.25" customHeight="1" thickBot="1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</row>
    <row r="138" spans="1:24" ht="14.25" customHeight="1" thickBot="1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</row>
    <row r="139" spans="1:24" ht="14.25" customHeight="1" thickBot="1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</row>
    <row r="140" spans="1:24" ht="14.25" customHeight="1" thickBot="1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</row>
    <row r="141" spans="1:24" ht="14.25" customHeight="1" thickBot="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</row>
    <row r="142" spans="1:24" ht="14.25" customHeight="1" thickBot="1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</row>
    <row r="143" spans="1:24" ht="14.25" customHeight="1" thickBot="1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</row>
    <row r="144" spans="1:24" ht="14.25" customHeight="1" thickBot="1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</row>
    <row r="145" spans="1:24" ht="14.25" customHeight="1" thickBot="1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</row>
    <row r="146" spans="1:24" ht="14.25" customHeight="1" thickBot="1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</row>
    <row r="147" spans="1:24" ht="14.25" customHeight="1" thickBot="1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</row>
    <row r="148" spans="1:24" ht="14.25" customHeight="1" thickBot="1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</row>
    <row r="149" spans="1:24" ht="14.25" customHeight="1" thickBot="1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</row>
    <row r="150" spans="1:24" ht="14.25" customHeight="1" thickBot="1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</row>
    <row r="151" spans="1:24" ht="14.25" customHeight="1" thickBot="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</row>
    <row r="152" spans="1:24" ht="14.25" customHeight="1" thickBot="1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</row>
    <row r="153" spans="1:24" ht="14.25" customHeight="1" thickBot="1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</row>
    <row r="154" spans="1:24" ht="14.25" customHeight="1" thickBot="1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</row>
    <row r="155" spans="1:24" ht="14.25" customHeight="1" thickBot="1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</row>
    <row r="156" spans="1:24" ht="14.25" customHeight="1" thickBot="1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</row>
    <row r="157" spans="1:24" ht="14.25" customHeight="1" thickBot="1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</row>
    <row r="158" spans="1:24" ht="14.25" customHeight="1" thickBot="1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</row>
    <row r="159" spans="1:24" ht="14.25" customHeight="1" thickBot="1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</row>
    <row r="160" spans="1:24" ht="14.25" customHeight="1" thickBot="1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</row>
    <row r="161" spans="1:24" ht="14.25" customHeight="1" thickBot="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</row>
    <row r="162" spans="1:24" ht="14.25" customHeight="1" thickBot="1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</row>
    <row r="163" spans="1:24" ht="14.25" customHeight="1" thickBot="1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</row>
    <row r="164" spans="1:24" ht="14.25" customHeight="1" thickBot="1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</row>
    <row r="165" spans="1:24" ht="14.25" customHeight="1" thickBot="1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</row>
    <row r="166" spans="1:24" ht="14.25" customHeight="1" thickBot="1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</row>
    <row r="167" spans="1:24" ht="14.25" customHeight="1" thickBot="1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</row>
    <row r="168" spans="1:24" ht="14.25" customHeight="1" thickBot="1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</row>
    <row r="169" spans="1:24" ht="14.25" customHeight="1" thickBot="1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</row>
    <row r="170" spans="1:24" ht="14.25" customHeight="1" thickBot="1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</row>
    <row r="171" spans="1:24" ht="14.25" customHeight="1" thickBot="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</row>
    <row r="172" spans="1:24" ht="14.25" customHeight="1" thickBot="1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</row>
    <row r="173" spans="1:24" ht="14.25" customHeight="1" thickBot="1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</row>
    <row r="174" spans="1:24" ht="14.25" customHeight="1" thickBot="1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</row>
    <row r="175" spans="1:24" ht="14.25" customHeight="1" thickBot="1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</row>
    <row r="176" spans="1:24" ht="14.25" customHeight="1" thickBot="1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</row>
    <row r="177" spans="1:24" ht="14.25" customHeight="1" thickBot="1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</row>
    <row r="178" spans="1:24" ht="14.25" customHeight="1" thickBot="1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</row>
    <row r="179" spans="1:24" ht="14.25" customHeight="1" thickBot="1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</row>
    <row r="180" spans="1:24" ht="14.25" customHeight="1" thickBot="1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</row>
    <row r="181" spans="1:24" ht="14.25" customHeight="1" thickBot="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</row>
    <row r="182" spans="1:24" ht="14.25" customHeight="1" thickBot="1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</row>
    <row r="183" spans="1:24" ht="14.25" customHeight="1" thickBot="1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</row>
    <row r="184" spans="1:24" ht="14.25" customHeight="1" thickBot="1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</row>
    <row r="185" spans="1:24" ht="14.25" customHeight="1" thickBot="1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</row>
    <row r="186" spans="1:24" ht="14.25" customHeight="1" thickBot="1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</row>
    <row r="187" spans="1:24" ht="14.25" customHeight="1" thickBot="1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</row>
    <row r="188" spans="1:24" ht="14.25" customHeight="1" thickBot="1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</row>
    <row r="189" spans="1:24" ht="14.25" customHeight="1" thickBot="1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</row>
    <row r="190" spans="1:24" ht="14.25" customHeight="1" thickBot="1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</row>
    <row r="191" spans="1:24" ht="14.25" customHeight="1" thickBot="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</row>
    <row r="192" spans="1:24" ht="14.25" customHeight="1" thickBot="1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</row>
    <row r="193" spans="1:24" ht="14.25" customHeight="1" thickBot="1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</row>
    <row r="194" spans="1:24" ht="14.25" customHeight="1" thickBot="1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</row>
    <row r="195" spans="1:24" ht="14.25" customHeight="1" thickBot="1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</row>
    <row r="196" spans="1:24" ht="14.25" customHeight="1" thickBot="1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</row>
    <row r="197" spans="1:24" ht="14.25" customHeight="1" thickBot="1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</row>
    <row r="198" spans="1:24" ht="14.25" customHeight="1" thickBot="1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</row>
    <row r="199" spans="1:24" ht="14.25" customHeight="1" thickBot="1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</row>
    <row r="200" spans="1:24" ht="14.25" customHeight="1" thickBot="1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</row>
    <row r="201" spans="1:24" ht="14.25" customHeight="1" thickBot="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</row>
    <row r="202" spans="1:24" ht="14.25" customHeight="1" thickBot="1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</row>
    <row r="203" spans="1:24" ht="14.25" customHeight="1" thickBot="1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</row>
    <row r="204" spans="1:24" ht="14.25" customHeight="1" thickBot="1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</row>
    <row r="205" spans="1:24" ht="14.25" customHeight="1" thickBot="1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</row>
    <row r="206" spans="1:24" ht="14.25" customHeight="1" thickBot="1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</row>
    <row r="207" spans="1:24" ht="14.25" customHeight="1" thickBot="1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</row>
    <row r="208" spans="1:24" ht="14.25" customHeight="1" thickBot="1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</row>
    <row r="209" spans="1:24" ht="14.25" customHeight="1" thickBot="1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</row>
    <row r="210" spans="1:24" ht="14.25" customHeight="1" thickBot="1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</row>
    <row r="211" spans="1:24" ht="14.25" customHeight="1" thickBot="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</row>
    <row r="212" spans="1:24" ht="14.25" customHeight="1" thickBot="1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</row>
    <row r="213" spans="1:24" ht="14.25" customHeight="1" thickBot="1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</row>
    <row r="214" spans="1:24" ht="14.25" customHeight="1" thickBot="1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</row>
    <row r="215" spans="1:24" ht="14.25" customHeight="1" thickBot="1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</row>
    <row r="216" spans="1:24" ht="14.25" customHeight="1" thickBot="1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</row>
    <row r="217" spans="1:24" ht="14.25" customHeight="1" thickBot="1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</row>
    <row r="218" spans="1:24" ht="14.25" customHeight="1" thickBot="1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</row>
    <row r="219" spans="1:24" ht="14.25" customHeight="1" thickBot="1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</row>
    <row r="220" spans="1:24" ht="14.25" customHeight="1" thickBot="1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</row>
    <row r="221" spans="1:24" ht="14.25" customHeight="1" thickBot="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</row>
    <row r="222" spans="1:24" ht="14.25" customHeight="1" thickBot="1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</row>
    <row r="223" spans="1:24" ht="14.25" customHeight="1" thickBot="1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</row>
    <row r="224" spans="1:24" ht="14.25" customHeight="1" thickBot="1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</row>
    <row r="225" spans="1:24" ht="14.25" customHeight="1" thickBot="1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</row>
    <row r="226" spans="1:24" ht="14.25" customHeight="1" thickBot="1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</row>
    <row r="227" spans="1:24" ht="14.25" customHeight="1" thickBot="1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</row>
    <row r="228" spans="1:24" ht="14.25" customHeight="1" thickBot="1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</row>
    <row r="229" spans="1:24" ht="14.25" customHeight="1" thickBot="1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</row>
    <row r="230" spans="1:24" ht="14.25" customHeight="1" thickBot="1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</row>
    <row r="231" spans="1:24" ht="14.25" customHeight="1" thickBot="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</row>
    <row r="232" spans="1:24" ht="14.25" customHeight="1" thickBot="1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</row>
    <row r="233" spans="1:24" ht="14.25" customHeight="1" thickBot="1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</row>
    <row r="234" spans="1:24" ht="14.25" customHeight="1" thickBot="1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</row>
    <row r="235" spans="1:24" ht="14.25" customHeight="1" thickBot="1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</row>
    <row r="236" spans="1:24" ht="14.25" customHeight="1" thickBot="1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</row>
    <row r="237" spans="1:24" ht="14.25" customHeight="1" thickBot="1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</row>
    <row r="238" spans="1:24" ht="14.25" customHeight="1" thickBot="1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</row>
    <row r="239" spans="1:24" ht="14.25" customHeight="1" thickBot="1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</row>
    <row r="240" spans="1:24" ht="14.25" customHeight="1" thickBot="1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</row>
    <row r="241" spans="1:24" ht="14.25" customHeight="1" thickBot="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</row>
    <row r="242" spans="1:24" ht="14.25" customHeight="1" thickBot="1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</row>
    <row r="243" spans="1:24" ht="14.25" customHeight="1" thickBot="1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</row>
    <row r="244" spans="1:24" ht="14.25" customHeight="1" thickBot="1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</row>
    <row r="245" spans="1:24" ht="14.25" customHeight="1" thickBot="1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</row>
    <row r="246" spans="1:24" ht="14.25" customHeight="1" thickBot="1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</row>
    <row r="247" spans="1:24" ht="14.25" customHeight="1" thickBot="1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</row>
    <row r="248" spans="1:24" ht="14.25" customHeight="1" thickBot="1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</row>
    <row r="249" spans="1:24" ht="14.25" customHeight="1" thickBot="1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</row>
    <row r="250" spans="1:24" ht="14.25" customHeight="1" thickBot="1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</row>
    <row r="251" spans="1:24" ht="14.25" customHeight="1" thickBot="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</row>
    <row r="252" spans="1:24" ht="14.25" customHeight="1" thickBot="1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</row>
    <row r="253" spans="1:24" ht="14.25" customHeight="1" thickBot="1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</row>
    <row r="254" spans="1:24" ht="14.25" customHeight="1" thickBot="1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</row>
    <row r="255" spans="1:24" ht="14.25" customHeight="1" thickBot="1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</row>
    <row r="256" spans="1:24" ht="14.25" customHeight="1" thickBot="1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</row>
    <row r="257" spans="1:24" ht="14.25" customHeight="1" thickBot="1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</row>
    <row r="258" spans="1:24" ht="14.25" customHeight="1" thickBot="1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</row>
    <row r="259" spans="1:24" ht="14.25" customHeight="1" thickBot="1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</row>
    <row r="260" spans="1:24" ht="14.25" customHeight="1" thickBot="1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</row>
    <row r="261" spans="1:24" ht="14.25" customHeight="1" thickBot="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</row>
    <row r="262" spans="1:24" ht="14.25" customHeight="1" thickBot="1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</row>
    <row r="263" spans="1:24" ht="14.25" customHeight="1" thickBot="1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</row>
    <row r="264" spans="1:24" ht="14.25" customHeight="1" thickBot="1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</row>
    <row r="265" spans="1:24" ht="14.25" customHeight="1" thickBot="1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</row>
    <row r="266" spans="1:24" ht="14.25" customHeight="1" thickBot="1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</row>
    <row r="267" spans="1:24" ht="14.25" customHeight="1" thickBot="1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</row>
    <row r="268" spans="1:24" ht="14.25" customHeight="1" thickBot="1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</row>
    <row r="269" spans="1:24" ht="14.25" customHeight="1" thickBot="1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</row>
    <row r="270" spans="1:24" ht="14.25" customHeight="1" thickBot="1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</row>
    <row r="271" spans="1:24" ht="14.25" customHeight="1" thickBot="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</row>
    <row r="272" spans="1:24" ht="14.25" customHeight="1" thickBot="1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</row>
    <row r="273" spans="1:24" ht="14.25" customHeight="1" thickBot="1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</row>
    <row r="274" spans="1:24" ht="14.25" customHeight="1" thickBot="1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</row>
    <row r="275" spans="1:24" ht="14.25" customHeight="1" thickBot="1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</row>
    <row r="276" spans="1:24" ht="14.25" customHeight="1" thickBot="1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</row>
    <row r="277" spans="1:24" ht="14.25" customHeight="1" thickBot="1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</row>
    <row r="278" spans="1:24" ht="14.25" customHeight="1" thickBot="1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</row>
    <row r="279" spans="1:24" ht="14.25" customHeight="1" thickBot="1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</row>
    <row r="280" spans="1:24" ht="14.25" customHeight="1" thickBot="1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</row>
    <row r="281" spans="1:24" ht="14.25" customHeight="1" thickBot="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</row>
    <row r="282" spans="1:24" ht="14.25" customHeight="1" thickBot="1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</row>
    <row r="283" spans="1:24" ht="14.25" customHeight="1" thickBot="1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</row>
    <row r="284" spans="1:24" ht="14.25" customHeight="1" thickBot="1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</row>
    <row r="285" spans="1:24" ht="14.25" customHeight="1" thickBot="1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</row>
    <row r="286" spans="1:24" ht="14.25" customHeight="1" thickBot="1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</row>
    <row r="287" spans="1:24" ht="14.25" customHeight="1" thickBot="1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</row>
    <row r="288" spans="1:24" ht="14.25" customHeight="1" thickBot="1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</row>
    <row r="289" spans="1:24" ht="14.25" customHeight="1" thickBot="1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</row>
    <row r="290" spans="1:24" ht="14.25" customHeight="1" thickBot="1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</row>
    <row r="291" spans="1:24" ht="14.25" customHeight="1" thickBot="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</row>
    <row r="292" spans="1:24" ht="14.25" customHeight="1" thickBot="1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</row>
    <row r="293" spans="1:24" ht="14.25" customHeight="1" thickBot="1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</row>
    <row r="294" spans="1:24" ht="14.25" customHeight="1" thickBot="1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</row>
    <row r="295" spans="1:24" ht="14.25" customHeight="1" thickBot="1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</row>
    <row r="296" spans="1:24" ht="14.25" customHeight="1" thickBot="1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</row>
    <row r="297" spans="1:24" ht="14.25" customHeight="1" thickBot="1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</row>
    <row r="298" spans="1:24" ht="14.25" customHeight="1" thickBot="1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</row>
    <row r="299" spans="1:24" ht="14.25" customHeight="1" thickBot="1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</row>
    <row r="300" spans="1:24" ht="14.25" customHeight="1" thickBot="1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</row>
    <row r="301" spans="1:24" ht="14.25" customHeight="1" thickBot="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</row>
    <row r="302" spans="1:24" ht="14.25" customHeight="1" thickBot="1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</row>
    <row r="303" spans="1:24" ht="14.25" customHeight="1" thickBot="1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</row>
    <row r="304" spans="1:24" ht="14.25" customHeight="1" thickBot="1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</row>
    <row r="305" spans="1:24" ht="14.25" customHeight="1" thickBot="1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</row>
    <row r="306" spans="1:24" ht="14.25" customHeight="1" thickBot="1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</row>
    <row r="307" spans="1:24" ht="14.25" customHeight="1" thickBot="1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</row>
    <row r="308" spans="1:24" ht="14.25" customHeight="1" thickBot="1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</row>
    <row r="309" spans="1:24" ht="14.25" customHeight="1" thickBot="1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</row>
    <row r="310" spans="1:24" ht="14.25" customHeight="1" thickBot="1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</row>
    <row r="311" spans="1:24" ht="14.25" customHeight="1" thickBot="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</row>
    <row r="312" spans="1:24" ht="14.25" customHeight="1" thickBot="1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</row>
    <row r="313" spans="1:24" ht="14.25" customHeight="1" thickBot="1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</row>
    <row r="314" spans="1:24" ht="14.25" customHeight="1" thickBot="1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</row>
    <row r="315" spans="1:24" ht="14.25" customHeight="1" thickBot="1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</row>
    <row r="316" spans="1:24" ht="14.25" customHeight="1" thickBot="1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</row>
    <row r="317" spans="1:24" ht="14.25" customHeight="1" thickBot="1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</row>
    <row r="318" spans="1:24" ht="14.25" customHeight="1" thickBot="1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</row>
    <row r="319" spans="1:24" ht="14.25" customHeight="1" thickBot="1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</row>
    <row r="320" spans="1:24" ht="14.25" customHeight="1" thickBot="1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</row>
    <row r="321" spans="1:24" ht="14.25" customHeight="1" thickBot="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</row>
    <row r="322" spans="1:24" ht="14.25" customHeight="1" thickBot="1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</row>
    <row r="323" spans="1:24" ht="14.25" customHeight="1" thickBot="1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</row>
    <row r="324" spans="1:24" ht="14.25" customHeight="1" thickBot="1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</row>
    <row r="325" spans="1:24" ht="14.25" customHeight="1" thickBot="1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</row>
    <row r="326" spans="1:24" ht="14.25" customHeight="1" thickBot="1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</row>
    <row r="327" spans="1:24" ht="14.25" customHeight="1" thickBot="1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</row>
    <row r="328" spans="1:24" ht="14.25" customHeight="1" thickBot="1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</row>
    <row r="329" spans="1:24" ht="14.25" customHeight="1" thickBot="1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</row>
    <row r="330" spans="1:24" ht="14.25" customHeight="1" thickBot="1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</row>
    <row r="331" spans="1:24" ht="14.25" customHeight="1" thickBot="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</row>
    <row r="332" spans="1:24" ht="14.25" customHeight="1" thickBot="1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</row>
    <row r="333" spans="1:24" ht="14.25" customHeight="1" thickBot="1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</row>
    <row r="334" spans="1:24" ht="14.25" customHeight="1" thickBot="1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</row>
    <row r="335" spans="1:24" ht="14.25" customHeight="1" thickBot="1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</row>
    <row r="336" spans="1:24" ht="14.25" customHeight="1" thickBot="1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</row>
    <row r="337" spans="1:24" ht="14.25" customHeight="1" thickBot="1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</row>
    <row r="338" spans="1:24" ht="14.25" customHeight="1" thickBot="1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</row>
    <row r="339" spans="1:24" ht="14.25" customHeight="1" thickBot="1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</row>
    <row r="340" spans="1:24" ht="14.25" customHeight="1" thickBot="1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</row>
    <row r="341" spans="1:24" ht="14.25" customHeight="1" thickBot="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</row>
    <row r="342" spans="1:24" ht="14.25" customHeight="1" thickBot="1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</row>
    <row r="343" spans="1:24" ht="14.25" customHeight="1" thickBot="1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</row>
    <row r="344" spans="1:24" ht="14.25" customHeight="1" thickBot="1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</row>
    <row r="345" spans="1:24" ht="14.25" customHeight="1" thickBot="1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</row>
    <row r="346" spans="1:24" ht="14.25" customHeight="1" thickBot="1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</row>
    <row r="347" spans="1:24" ht="14.25" customHeight="1" thickBot="1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</row>
    <row r="348" spans="1:24" ht="14.25" customHeight="1" thickBot="1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</row>
    <row r="349" spans="1:24" ht="14.25" customHeight="1" thickBot="1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</row>
    <row r="350" spans="1:24" ht="14.25" customHeight="1" thickBot="1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</row>
    <row r="351" spans="1:24" ht="14.25" customHeight="1" thickBot="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</row>
    <row r="352" spans="1:24" ht="14.25" customHeight="1" thickBot="1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</row>
    <row r="353" spans="1:24" ht="14.25" customHeight="1" thickBot="1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</row>
    <row r="354" spans="1:24" ht="14.25" customHeight="1" thickBot="1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</row>
    <row r="355" spans="1:24" ht="14.25" customHeight="1" thickBot="1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</row>
    <row r="356" spans="1:24" ht="14.25" customHeight="1" thickBot="1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</row>
    <row r="357" spans="1:24" ht="14.25" customHeight="1" thickBot="1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</row>
    <row r="358" spans="1:24" ht="14.25" customHeight="1" thickBot="1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</row>
    <row r="359" spans="1:24" ht="14.25" customHeight="1" thickBot="1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</row>
    <row r="360" spans="1:24" ht="14.25" customHeight="1" thickBot="1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</row>
    <row r="361" spans="1:24" ht="14.25" customHeight="1" thickBot="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</row>
    <row r="362" spans="1:24" ht="14.25" customHeight="1" thickBot="1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</row>
    <row r="363" spans="1:24" ht="14.25" customHeight="1" thickBot="1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</row>
    <row r="364" spans="1:24" ht="14.25" customHeight="1" thickBot="1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</row>
    <row r="365" spans="1:24" ht="14.25" customHeight="1" thickBot="1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</row>
    <row r="366" spans="1:24" ht="14.25" customHeight="1" thickBot="1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</row>
    <row r="367" spans="1:24" ht="14.25" customHeight="1" thickBot="1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</row>
    <row r="368" spans="1:24" ht="14.25" customHeight="1" thickBot="1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</row>
    <row r="369" spans="1:24" ht="14.25" customHeight="1" thickBot="1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</row>
    <row r="370" spans="1:24" ht="14.25" customHeight="1" thickBot="1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</row>
    <row r="371" spans="1:24" ht="14.25" customHeight="1" thickBot="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</row>
    <row r="372" spans="1:24" ht="14.25" customHeight="1" thickBot="1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</row>
    <row r="373" spans="1:24" ht="14.25" customHeight="1" thickBot="1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</row>
    <row r="374" spans="1:24" ht="14.25" customHeight="1" thickBot="1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</row>
    <row r="375" spans="1:24" ht="14.25" customHeight="1" thickBot="1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</row>
    <row r="376" spans="1:24" ht="14.25" customHeight="1" thickBot="1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</row>
    <row r="377" spans="1:24" ht="14.25" customHeight="1" thickBot="1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</row>
    <row r="378" spans="1:24" ht="14.25" customHeight="1" thickBot="1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</row>
    <row r="379" spans="1:24" ht="14.25" customHeight="1" thickBot="1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</row>
    <row r="380" spans="1:24" ht="14.25" customHeight="1" thickBot="1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</row>
    <row r="381" spans="1:24" ht="14.25" customHeight="1" thickBot="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</row>
    <row r="382" spans="1:24" ht="14.25" customHeight="1" thickBot="1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</row>
    <row r="383" spans="1:24" ht="14.25" customHeight="1" thickBot="1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</row>
    <row r="384" spans="1:24" ht="14.25" customHeight="1" thickBot="1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</row>
    <row r="385" spans="1:24" ht="14.25" customHeight="1" thickBot="1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</row>
    <row r="386" spans="1:24" ht="14.25" customHeight="1" thickBot="1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</row>
    <row r="387" spans="1:24" ht="14.25" customHeight="1" thickBot="1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</row>
    <row r="388" spans="1:24" ht="14.25" customHeight="1" thickBot="1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</row>
    <row r="389" spans="1:24" ht="14.25" customHeight="1" thickBot="1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</row>
    <row r="390" spans="1:24" ht="14.25" customHeight="1" thickBot="1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</row>
    <row r="391" spans="1:24" ht="14.25" customHeight="1" thickBot="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</row>
    <row r="392" spans="1:24" ht="14.25" customHeight="1" thickBot="1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</row>
    <row r="393" spans="1:24" ht="14.25" customHeight="1" thickBot="1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</row>
    <row r="394" spans="1:24" ht="14.25" customHeight="1" thickBot="1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</row>
    <row r="395" spans="1:24" ht="14.25" customHeight="1" thickBot="1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</row>
    <row r="396" spans="1:24" ht="14.25" customHeight="1" thickBot="1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</row>
    <row r="397" spans="1:24" ht="14.25" customHeight="1" thickBot="1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</row>
    <row r="398" spans="1:24" ht="14.25" customHeight="1" thickBot="1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</row>
    <row r="399" spans="1:24" ht="14.25" customHeight="1" thickBot="1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</row>
    <row r="400" spans="1:24" ht="14.25" customHeight="1" thickBot="1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</row>
    <row r="401" spans="1:24" ht="14.25" customHeight="1" thickBot="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</row>
    <row r="402" spans="1:24" ht="14.25" customHeight="1" thickBot="1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</row>
    <row r="403" spans="1:24" ht="14.25" customHeight="1" thickBot="1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</row>
    <row r="404" spans="1:24" ht="14.25" customHeight="1" thickBot="1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</row>
    <row r="405" spans="1:24" ht="14.25" customHeight="1" thickBot="1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</row>
    <row r="406" spans="1:24" ht="14.25" customHeight="1" thickBot="1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</row>
    <row r="407" spans="1:24" ht="14.25" customHeight="1" thickBot="1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</row>
    <row r="408" spans="1:24" ht="14.25" customHeight="1" thickBot="1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</row>
    <row r="409" spans="1:24" ht="14.25" customHeight="1" thickBot="1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</row>
    <row r="410" spans="1:24" ht="14.25" customHeight="1" thickBot="1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</row>
    <row r="411" spans="1:24" ht="14.25" customHeight="1" thickBot="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</row>
    <row r="412" spans="1:24" ht="14.25" customHeight="1" thickBot="1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</row>
    <row r="413" spans="1:24" ht="14.25" customHeight="1" thickBot="1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</row>
    <row r="414" spans="1:24" ht="14.25" customHeight="1" thickBot="1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</row>
    <row r="415" spans="1:24" ht="14.25" customHeight="1" thickBot="1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</row>
    <row r="416" spans="1:24" ht="14.25" customHeight="1" thickBot="1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</row>
    <row r="417" spans="1:24" ht="14.25" customHeight="1" thickBot="1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</row>
    <row r="418" spans="1:24" ht="14.25" customHeight="1" thickBot="1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</row>
    <row r="419" spans="1:24" ht="14.25" customHeight="1" thickBot="1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</row>
    <row r="420" spans="1:24" ht="14.25" customHeight="1" thickBot="1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</row>
    <row r="421" spans="1:24" ht="14.25" customHeight="1" thickBot="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</row>
    <row r="422" spans="1:24" ht="14.25" customHeight="1" thickBot="1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</row>
    <row r="423" spans="1:24" ht="14.25" customHeight="1" thickBot="1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</row>
    <row r="424" spans="1:24" ht="14.25" customHeight="1" thickBot="1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</row>
    <row r="425" spans="1:24" ht="14.25" customHeight="1" thickBot="1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</row>
    <row r="426" spans="1:24" ht="14.25" customHeight="1" thickBot="1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</row>
    <row r="427" spans="1:24" ht="14.25" customHeight="1" thickBot="1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</row>
    <row r="428" spans="1:24" ht="14.25" customHeight="1" thickBot="1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</row>
    <row r="429" spans="1:24" ht="14.25" customHeight="1" thickBot="1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</row>
    <row r="430" spans="1:24" ht="14.25" customHeight="1" thickBot="1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</row>
    <row r="431" spans="1:24" ht="14.25" customHeight="1" thickBot="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</row>
    <row r="432" spans="1:24" ht="14.25" customHeight="1" thickBot="1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</row>
    <row r="433" spans="1:24" ht="14.25" customHeight="1" thickBot="1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</row>
    <row r="434" spans="1:24" ht="14.25" customHeight="1" thickBot="1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</row>
    <row r="435" spans="1:24" ht="14.25" customHeight="1" thickBot="1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</row>
    <row r="436" spans="1:24" ht="14.25" customHeight="1" thickBot="1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</row>
    <row r="437" spans="1:24" ht="14.25" customHeight="1" thickBot="1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</row>
    <row r="438" spans="1:24" ht="14.25" customHeight="1" thickBot="1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</row>
    <row r="439" spans="1:24" ht="14.25" customHeight="1" thickBot="1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</row>
    <row r="440" spans="1:24" ht="14.25" customHeight="1" thickBot="1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</row>
    <row r="441" spans="1:24" ht="14.25" customHeight="1" thickBot="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</row>
    <row r="442" spans="1:24" ht="14.25" customHeight="1" thickBot="1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</row>
    <row r="443" spans="1:24" ht="14.25" customHeight="1" thickBot="1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</row>
    <row r="444" spans="1:24" ht="14.25" customHeight="1" thickBot="1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</row>
    <row r="445" spans="1:24" ht="14.25" customHeight="1" thickBot="1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</row>
    <row r="446" spans="1:24" ht="14.25" customHeight="1" thickBot="1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</row>
    <row r="447" spans="1:24" ht="14.25" customHeight="1" thickBot="1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</row>
    <row r="448" spans="1:24" ht="14.25" customHeight="1" thickBot="1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</row>
    <row r="449" spans="1:24" ht="14.25" customHeight="1" thickBot="1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</row>
    <row r="450" spans="1:24" ht="14.25" customHeight="1" thickBot="1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</row>
    <row r="451" spans="1:24" ht="14.25" customHeight="1" thickBot="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</row>
    <row r="452" spans="1:24" ht="14.25" customHeight="1" thickBot="1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</row>
    <row r="453" spans="1:24" ht="14.25" customHeight="1" thickBot="1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</row>
    <row r="454" spans="1:24" ht="14.25" customHeight="1" thickBot="1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</row>
    <row r="455" spans="1:24" ht="14.25" customHeight="1" thickBot="1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</row>
    <row r="456" spans="1:24" ht="14.25" customHeight="1" thickBot="1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</row>
    <row r="457" spans="1:24" ht="14.25" customHeight="1" thickBot="1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</row>
    <row r="458" spans="1:24" ht="14.25" customHeight="1" thickBot="1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</row>
    <row r="459" spans="1:24" ht="14.25" customHeight="1" thickBot="1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</row>
    <row r="460" spans="1:24" ht="14.25" customHeight="1" thickBot="1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</row>
    <row r="461" spans="1:24" ht="14.25" customHeight="1" thickBot="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</row>
    <row r="462" spans="1:24" ht="14.25" customHeight="1" thickBot="1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</row>
    <row r="463" spans="1:24" ht="14.25" customHeight="1" thickBot="1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</row>
    <row r="464" spans="1:24" ht="14.25" customHeight="1" thickBot="1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</row>
    <row r="465" spans="1:24" ht="14.25" customHeight="1" thickBot="1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</row>
    <row r="466" spans="1:24" ht="14.25" customHeight="1" thickBot="1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</row>
    <row r="467" spans="1:24" ht="14.25" customHeight="1" thickBot="1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</row>
    <row r="468" spans="1:24" ht="14.25" customHeight="1" thickBot="1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</row>
    <row r="469" spans="1:24" ht="14.25" customHeight="1" thickBot="1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</row>
    <row r="470" spans="1:24" ht="14.25" customHeight="1" thickBot="1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</row>
    <row r="471" spans="1:24" ht="14.25" customHeight="1" thickBot="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</row>
    <row r="472" spans="1:24" ht="14.25" customHeight="1" thickBot="1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</row>
    <row r="473" spans="1:24" ht="14.25" customHeight="1" thickBot="1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</row>
    <row r="474" spans="1:24" ht="14.25" customHeight="1" thickBot="1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</row>
    <row r="475" spans="1:24" ht="14.25" customHeight="1" thickBot="1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</row>
    <row r="476" spans="1:24" ht="14.25" customHeight="1" thickBot="1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</row>
    <row r="477" spans="1:24" ht="14.25" customHeight="1" thickBot="1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</row>
    <row r="478" spans="1:24" ht="14.25" customHeight="1" thickBot="1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</row>
    <row r="479" spans="1:24" ht="14.25" customHeight="1" thickBot="1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</row>
    <row r="480" spans="1:24" ht="14.25" customHeight="1" thickBot="1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</row>
    <row r="481" spans="1:24" ht="14.25" customHeight="1" thickBot="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</row>
    <row r="482" spans="1:24" ht="14.25" customHeight="1" thickBot="1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</row>
    <row r="483" spans="1:24" ht="14.25" customHeight="1" thickBot="1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</row>
    <row r="484" spans="1:24" ht="14.25" customHeight="1" thickBot="1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</row>
    <row r="485" spans="1:24" ht="14.25" customHeight="1" thickBot="1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</row>
    <row r="486" spans="1:24" ht="14.25" customHeight="1" thickBot="1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</row>
    <row r="487" spans="1:24" ht="14.25" customHeight="1" thickBot="1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</row>
    <row r="488" spans="1:24" ht="14.25" customHeight="1" thickBot="1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</row>
    <row r="489" spans="1:24" ht="14.25" customHeight="1" thickBot="1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</row>
    <row r="490" spans="1:24" ht="14.25" customHeight="1" thickBot="1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</row>
    <row r="491" spans="1:24" ht="14.25" customHeight="1" thickBot="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</row>
    <row r="492" spans="1:24" ht="14.25" customHeight="1" thickBot="1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</row>
    <row r="493" spans="1:24" ht="14.25" customHeight="1" thickBot="1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</row>
    <row r="494" spans="1:24" ht="14.25" customHeight="1" thickBot="1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</row>
    <row r="495" spans="1:24" ht="14.25" customHeight="1" thickBot="1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</row>
    <row r="496" spans="1:24" ht="14.25" customHeight="1" thickBot="1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</row>
    <row r="497" spans="1:24" ht="14.25" customHeight="1" thickBot="1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</row>
    <row r="498" spans="1:24" ht="14.25" customHeight="1" thickBot="1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</row>
    <row r="499" spans="1:24" ht="14.25" customHeight="1" thickBot="1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</row>
    <row r="500" spans="1:24" ht="14.25" customHeight="1" thickBot="1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</row>
    <row r="501" spans="1:24" ht="14.25" customHeight="1" thickBot="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</row>
    <row r="502" spans="1:24" ht="14.25" customHeight="1" thickBot="1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</row>
    <row r="503" spans="1:24" ht="14.25" customHeight="1" thickBot="1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</row>
    <row r="504" spans="1:24" ht="14.25" customHeight="1" thickBot="1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</row>
    <row r="505" spans="1:24" ht="14.25" customHeight="1" thickBot="1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</row>
    <row r="506" spans="1:24" ht="14.25" customHeight="1" thickBot="1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</row>
    <row r="507" spans="1:24" ht="14.25" customHeight="1" thickBot="1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</row>
    <row r="508" spans="1:24" ht="14.25" customHeight="1" thickBot="1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</row>
    <row r="509" spans="1:24" ht="14.25" customHeight="1" thickBot="1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</row>
    <row r="510" spans="1:24" ht="14.25" customHeight="1" thickBot="1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</row>
    <row r="511" spans="1:24" ht="14.25" customHeight="1" thickBot="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</row>
    <row r="512" spans="1:24" ht="14.25" customHeight="1" thickBot="1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</row>
    <row r="513" spans="1:24" ht="14.25" customHeight="1" thickBot="1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</row>
    <row r="514" spans="1:24" ht="14.25" customHeight="1" thickBot="1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</row>
    <row r="515" spans="1:24" ht="14.25" customHeight="1" thickBot="1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</row>
    <row r="516" spans="1:24" ht="14.25" customHeight="1" thickBot="1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</row>
    <row r="517" spans="1:24" ht="14.25" customHeight="1" thickBot="1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</row>
    <row r="518" spans="1:24" ht="14.25" customHeight="1" thickBot="1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</row>
    <row r="519" spans="1:24" ht="14.25" customHeight="1" thickBot="1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</row>
    <row r="520" spans="1:24" ht="14.25" customHeight="1" thickBot="1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</row>
    <row r="521" spans="1:24" ht="14.25" customHeight="1" thickBot="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</row>
    <row r="522" spans="1:24" ht="14.25" customHeight="1" thickBot="1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</row>
    <row r="523" spans="1:24" ht="14.25" customHeight="1" thickBot="1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</row>
    <row r="524" spans="1:24" ht="14.25" customHeight="1" thickBot="1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</row>
    <row r="525" spans="1:24" ht="14.25" customHeight="1" thickBot="1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</row>
    <row r="526" spans="1:24" ht="14.25" customHeight="1" thickBot="1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</row>
    <row r="527" spans="1:24" ht="14.25" customHeight="1" thickBot="1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</row>
    <row r="528" spans="1:24" ht="14.25" customHeight="1" thickBot="1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</row>
    <row r="529" spans="1:24" ht="14.25" customHeight="1" thickBot="1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</row>
    <row r="530" spans="1:24" ht="14.25" customHeight="1" thickBot="1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</row>
    <row r="531" spans="1:24" ht="14.25" customHeight="1" thickBot="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</row>
    <row r="532" spans="1:24" ht="14.25" customHeight="1" thickBot="1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</row>
    <row r="533" spans="1:24" ht="14.25" customHeight="1" thickBot="1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</row>
    <row r="534" spans="1:24" ht="14.25" customHeight="1" thickBot="1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</row>
    <row r="535" spans="1:24" ht="14.25" customHeight="1" thickBot="1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</row>
    <row r="536" spans="1:24" ht="14.25" customHeight="1" thickBot="1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</row>
    <row r="537" spans="1:24" ht="14.25" customHeight="1" thickBot="1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</row>
    <row r="538" spans="1:24" ht="14.25" customHeight="1" thickBot="1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</row>
    <row r="539" spans="1:24" ht="14.25" customHeight="1" thickBot="1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</row>
    <row r="540" spans="1:24" ht="14.25" customHeight="1" thickBot="1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</row>
    <row r="541" spans="1:24" ht="14.25" customHeight="1" thickBot="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</row>
    <row r="542" spans="1:24" ht="14.25" customHeight="1" thickBot="1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</row>
    <row r="543" spans="1:24" ht="14.25" customHeight="1" thickBot="1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</row>
    <row r="544" spans="1:24" ht="14.25" customHeight="1" thickBot="1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</row>
    <row r="545" spans="1:24" ht="14.25" customHeight="1" thickBot="1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</row>
    <row r="546" spans="1:24" ht="14.25" customHeight="1" thickBot="1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</row>
    <row r="547" spans="1:24" ht="14.25" customHeight="1" thickBot="1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</row>
    <row r="548" spans="1:24" ht="14.25" customHeight="1" thickBot="1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</row>
    <row r="549" spans="1:24" ht="14.25" customHeight="1" thickBot="1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</row>
    <row r="550" spans="1:24" ht="14.25" customHeight="1" thickBot="1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</row>
    <row r="551" spans="1:24" ht="14.25" customHeight="1" thickBot="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</row>
    <row r="552" spans="1:24" ht="14.25" customHeight="1" thickBot="1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</row>
    <row r="553" spans="1:24" ht="14.25" customHeight="1" thickBot="1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</row>
    <row r="554" spans="1:24" ht="14.25" customHeight="1" thickBot="1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</row>
    <row r="555" spans="1:24" ht="14.25" customHeight="1" thickBot="1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</row>
    <row r="556" spans="1:24" ht="14.25" customHeight="1" thickBot="1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</row>
    <row r="557" spans="1:24" ht="14.25" customHeight="1" thickBot="1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</row>
    <row r="558" spans="1:24" ht="14.25" customHeight="1" thickBot="1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</row>
    <row r="559" spans="1:24" ht="14.25" customHeight="1" thickBot="1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</row>
    <row r="560" spans="1:24" ht="14.25" customHeight="1" thickBot="1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</row>
    <row r="561" spans="1:24" ht="14.25" customHeight="1" thickBot="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</row>
    <row r="562" spans="1:24" ht="14.25" customHeight="1" thickBot="1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</row>
    <row r="563" spans="1:24" ht="14.25" customHeight="1" thickBot="1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</row>
    <row r="564" spans="1:24" ht="14.25" customHeight="1" thickBot="1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</row>
    <row r="565" spans="1:24" ht="14.25" customHeight="1" thickBot="1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</row>
    <row r="566" spans="1:24" ht="14.25" customHeight="1" thickBot="1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</row>
    <row r="567" spans="1:24" ht="14.25" customHeight="1" thickBot="1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</row>
    <row r="568" spans="1:24" ht="14.25" customHeight="1" thickBot="1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</row>
    <row r="569" spans="1:24" ht="14.25" customHeight="1" thickBot="1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</row>
    <row r="570" spans="1:24" ht="14.25" customHeight="1" thickBot="1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</row>
    <row r="571" spans="1:24" ht="14.25" customHeight="1" thickBot="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</row>
    <row r="572" spans="1:24" ht="14.25" customHeight="1" thickBot="1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</row>
    <row r="573" spans="1:24" ht="14.25" customHeight="1" thickBot="1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</row>
    <row r="574" spans="1:24" ht="14.25" customHeight="1" thickBot="1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</row>
    <row r="575" spans="1:24" ht="14.25" customHeight="1" thickBot="1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</row>
    <row r="576" spans="1:24" ht="14.25" customHeight="1" thickBot="1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</row>
    <row r="577" spans="1:24" ht="14.25" customHeight="1" thickBot="1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</row>
    <row r="578" spans="1:24" ht="14.25" customHeight="1" thickBot="1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</row>
    <row r="579" spans="1:24" ht="14.25" customHeight="1" thickBot="1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</row>
    <row r="580" spans="1:24" ht="14.25" customHeight="1" thickBot="1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</row>
    <row r="581" spans="1:24" ht="14.25" customHeight="1" thickBot="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</row>
    <row r="582" spans="1:24" ht="14.25" customHeight="1" thickBot="1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</row>
    <row r="583" spans="1:24" ht="14.25" customHeight="1" thickBot="1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</row>
    <row r="584" spans="1:24" ht="14.25" customHeight="1" thickBot="1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</row>
    <row r="585" spans="1:24" ht="14.25" customHeight="1" thickBot="1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</row>
    <row r="586" spans="1:24" ht="14.25" customHeight="1" thickBot="1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</row>
    <row r="587" spans="1:24" ht="14.25" customHeight="1" thickBot="1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</row>
    <row r="588" spans="1:24" ht="14.25" customHeight="1" thickBot="1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</row>
    <row r="589" spans="1:24" ht="14.25" customHeight="1" thickBot="1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</row>
    <row r="590" spans="1:24" ht="14.25" customHeight="1" thickBot="1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</row>
    <row r="591" spans="1:24" ht="14.25" customHeight="1" thickBot="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</row>
    <row r="592" spans="1:24" ht="14.25" customHeight="1" thickBot="1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</row>
    <row r="593" spans="1:24" ht="14.25" customHeight="1" thickBot="1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</row>
    <row r="594" spans="1:24" ht="14.25" customHeight="1" thickBot="1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</row>
    <row r="595" spans="1:24" ht="14.25" customHeight="1" thickBot="1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</row>
    <row r="596" spans="1:24" ht="14.25" customHeight="1" thickBot="1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</row>
    <row r="597" spans="1:24" ht="14.25" customHeight="1" thickBot="1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</row>
    <row r="598" spans="1:24" ht="14.25" customHeight="1" thickBot="1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</row>
    <row r="599" spans="1:24" ht="14.25" customHeight="1" thickBot="1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</row>
    <row r="600" spans="1:24" ht="14.25" customHeight="1" thickBot="1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</row>
    <row r="601" spans="1:24" ht="14.25" customHeight="1" thickBot="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</row>
    <row r="602" spans="1:24" ht="14.25" customHeight="1" thickBot="1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</row>
    <row r="603" spans="1:24" ht="14.25" customHeight="1" thickBot="1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</row>
    <row r="604" spans="1:24" ht="14.25" customHeight="1" thickBot="1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</row>
    <row r="605" spans="1:24" ht="14.25" customHeight="1" thickBot="1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</row>
    <row r="606" spans="1:24" ht="14.25" customHeight="1" thickBot="1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</row>
    <row r="607" spans="1:24" ht="14.25" customHeight="1" thickBot="1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</row>
    <row r="608" spans="1:24" ht="14.25" customHeight="1" thickBot="1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</row>
    <row r="609" spans="1:24" ht="14.25" customHeight="1" thickBot="1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</row>
    <row r="610" spans="1:24" ht="14.25" customHeight="1" thickBot="1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</row>
    <row r="611" spans="1:24" ht="14.25" customHeight="1" thickBot="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</row>
    <row r="612" spans="1:24" ht="14.25" customHeight="1" thickBot="1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</row>
    <row r="613" spans="1:24" ht="14.25" customHeight="1" thickBot="1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</row>
    <row r="614" spans="1:24" ht="14.25" customHeight="1" thickBot="1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</row>
    <row r="615" spans="1:24" ht="14.25" customHeight="1" thickBot="1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</row>
    <row r="616" spans="1:24" ht="14.25" customHeight="1" thickBot="1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</row>
    <row r="617" spans="1:24" ht="14.25" customHeight="1" thickBot="1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</row>
    <row r="618" spans="1:24" ht="14.25" customHeight="1" thickBot="1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</row>
    <row r="619" spans="1:24" ht="14.25" customHeight="1" thickBot="1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</row>
    <row r="620" spans="1:24" ht="14.25" customHeight="1" thickBot="1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</row>
    <row r="621" spans="1:24" ht="14.25" customHeight="1" thickBot="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</row>
    <row r="622" spans="1:24" ht="14.25" customHeight="1" thickBot="1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</row>
    <row r="623" spans="1:24" ht="14.25" customHeight="1" thickBot="1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</row>
    <row r="624" spans="1:24" ht="14.25" customHeight="1" thickBot="1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</row>
    <row r="625" spans="1:24" ht="14.25" customHeight="1" thickBot="1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</row>
    <row r="626" spans="1:24" ht="14.25" customHeight="1" thickBot="1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</row>
    <row r="627" spans="1:24" ht="14.25" customHeight="1" thickBot="1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</row>
    <row r="628" spans="1:24" ht="14.25" customHeight="1" thickBot="1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</row>
    <row r="629" spans="1:24" ht="14.25" customHeight="1" thickBot="1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</row>
    <row r="630" spans="1:24" ht="14.25" customHeight="1" thickBot="1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</row>
    <row r="631" spans="1:24" ht="14.25" customHeight="1" thickBot="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</row>
    <row r="632" spans="1:24" ht="14.25" customHeight="1" thickBot="1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</row>
    <row r="633" spans="1:24" ht="14.25" customHeight="1" thickBot="1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</row>
    <row r="634" spans="1:24" ht="14.25" customHeight="1" thickBot="1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</row>
    <row r="635" spans="1:24" ht="14.25" customHeight="1" thickBot="1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</row>
    <row r="636" spans="1:24" ht="14.25" customHeight="1" thickBot="1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</row>
    <row r="637" spans="1:24" ht="14.25" customHeight="1" thickBot="1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</row>
    <row r="638" spans="1:24" ht="14.25" customHeight="1" thickBot="1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</row>
    <row r="639" spans="1:24" ht="14.25" customHeight="1" thickBot="1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</row>
    <row r="640" spans="1:24" ht="14.25" customHeight="1" thickBot="1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</row>
    <row r="641" spans="1:24" ht="14.25" customHeight="1" thickBot="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</row>
    <row r="642" spans="1:24" ht="14.25" customHeight="1" thickBot="1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</row>
    <row r="643" spans="1:24" ht="14.25" customHeight="1" thickBot="1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</row>
    <row r="644" spans="1:24" ht="14.25" customHeight="1" thickBot="1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</row>
    <row r="645" spans="1:24" ht="14.25" customHeight="1" thickBot="1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</row>
    <row r="646" spans="1:24" ht="14.25" customHeight="1" thickBot="1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</row>
    <row r="647" spans="1:24" ht="14.25" customHeight="1" thickBot="1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</row>
    <row r="648" spans="1:24" ht="14.25" customHeight="1" thickBot="1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</row>
    <row r="649" spans="1:24" ht="14.25" customHeight="1" thickBot="1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</row>
    <row r="650" spans="1:24" ht="14.25" customHeight="1" thickBot="1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</row>
    <row r="651" spans="1:24" ht="14.25" customHeight="1" thickBot="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</row>
    <row r="652" spans="1:24" ht="14.25" customHeight="1" thickBot="1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</row>
    <row r="653" spans="1:24" ht="14.25" customHeight="1" thickBot="1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</row>
    <row r="654" spans="1:24" ht="14.25" customHeight="1" thickBot="1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</row>
    <row r="655" spans="1:24" ht="14.25" customHeight="1" thickBot="1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</row>
    <row r="656" spans="1:24" ht="14.25" customHeight="1" thickBot="1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</row>
    <row r="657" spans="1:24" ht="14.25" customHeight="1" thickBot="1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</row>
    <row r="658" spans="1:24" ht="14.25" customHeight="1" thickBot="1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</row>
    <row r="659" spans="1:24" ht="14.25" customHeight="1" thickBot="1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</row>
    <row r="660" spans="1:24" ht="14.25" customHeight="1" thickBot="1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</row>
    <row r="661" spans="1:24" ht="14.25" customHeight="1" thickBot="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</row>
    <row r="662" spans="1:24" ht="14.25" customHeight="1" thickBot="1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</row>
    <row r="663" spans="1:24" ht="14.25" customHeight="1" thickBot="1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</row>
    <row r="664" spans="1:24" ht="14.25" customHeight="1" thickBot="1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</row>
    <row r="665" spans="1:24" ht="14.25" customHeight="1" thickBot="1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</row>
    <row r="666" spans="1:24" ht="14.25" customHeight="1" thickBot="1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</row>
    <row r="667" spans="1:24" ht="14.25" customHeight="1" thickBot="1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</row>
    <row r="668" spans="1:24" ht="14.25" customHeight="1" thickBot="1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</row>
    <row r="669" spans="1:24" ht="14.25" customHeight="1" thickBot="1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</row>
    <row r="670" spans="1:24" ht="14.25" customHeight="1" thickBot="1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</row>
    <row r="671" spans="1:24" ht="14.25" customHeight="1" thickBot="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</row>
    <row r="672" spans="1:24" ht="14.25" customHeight="1" thickBot="1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</row>
    <row r="673" spans="1:24" ht="14.25" customHeight="1" thickBot="1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</row>
    <row r="674" spans="1:24" ht="14.25" customHeight="1" thickBot="1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</row>
    <row r="675" spans="1:24" ht="14.25" customHeight="1" thickBot="1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</row>
    <row r="676" spans="1:24" ht="14.25" customHeight="1" thickBot="1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</row>
    <row r="677" spans="1:24" ht="14.25" customHeight="1" thickBot="1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</row>
    <row r="678" spans="1:24" ht="14.25" customHeight="1" thickBot="1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</row>
    <row r="679" spans="1:24" ht="14.25" customHeight="1" thickBot="1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</row>
    <row r="680" spans="1:24" ht="14.25" customHeight="1" thickBot="1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</row>
    <row r="681" spans="1:24" ht="14.25" customHeight="1" thickBot="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</row>
    <row r="682" spans="1:24" ht="14.25" customHeight="1" thickBot="1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</row>
    <row r="683" spans="1:24" ht="14.25" customHeight="1" thickBot="1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</row>
    <row r="684" spans="1:24" ht="14.25" customHeight="1" thickBot="1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</row>
    <row r="685" spans="1:24" ht="14.25" customHeight="1" thickBot="1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</row>
    <row r="686" spans="1:24" ht="14.25" customHeight="1" thickBot="1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</row>
    <row r="687" spans="1:24" ht="14.25" customHeight="1" thickBot="1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</row>
    <row r="688" spans="1:24" ht="14.25" customHeight="1" thickBot="1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</row>
    <row r="689" spans="1:24" ht="14.25" customHeight="1" thickBot="1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</row>
    <row r="690" spans="1:24" ht="14.25" customHeight="1" thickBot="1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</row>
    <row r="691" spans="1:24" ht="14.25" customHeight="1" thickBot="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</row>
    <row r="692" spans="1:24" ht="14.25" customHeight="1" thickBot="1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</row>
    <row r="693" spans="1:24" ht="14.25" customHeight="1" thickBot="1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</row>
    <row r="694" spans="1:24" ht="14.25" customHeight="1" thickBot="1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</row>
    <row r="695" spans="1:24" ht="14.25" customHeight="1" thickBot="1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</row>
    <row r="696" spans="1:24" ht="14.25" customHeight="1" thickBot="1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</row>
    <row r="697" spans="1:24" ht="14.25" customHeight="1" thickBot="1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</row>
    <row r="698" spans="1:24" ht="14.25" customHeight="1" thickBot="1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</row>
    <row r="699" spans="1:24" ht="14.25" customHeight="1" thickBot="1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</row>
    <row r="700" spans="1:24" ht="14.25" customHeight="1" thickBot="1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</row>
    <row r="701" spans="1:24" ht="14.25" customHeight="1" thickBot="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</row>
    <row r="702" spans="1:24" ht="14.25" customHeight="1" thickBot="1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</row>
    <row r="703" spans="1:24" ht="14.25" customHeight="1" thickBot="1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</row>
    <row r="704" spans="1:24" ht="14.25" customHeight="1" thickBot="1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</row>
    <row r="705" spans="1:24" ht="14.25" customHeight="1" thickBot="1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</row>
    <row r="706" spans="1:24" ht="14.25" customHeight="1" thickBot="1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</row>
    <row r="707" spans="1:24" ht="14.25" customHeight="1" thickBot="1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</row>
    <row r="708" spans="1:24" ht="14.25" customHeight="1" thickBot="1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</row>
    <row r="709" spans="1:24" ht="14.25" customHeight="1" thickBot="1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</row>
    <row r="710" spans="1:24" ht="14.25" customHeight="1" thickBot="1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</row>
    <row r="711" spans="1:24" ht="14.25" customHeight="1" thickBot="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</row>
    <row r="712" spans="1:24" ht="14.25" customHeight="1" thickBot="1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</row>
    <row r="713" spans="1:24" ht="14.25" customHeight="1" thickBot="1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</row>
    <row r="714" spans="1:24" ht="14.25" customHeight="1" thickBot="1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</row>
    <row r="715" spans="1:24" ht="14.25" customHeight="1" thickBot="1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</row>
    <row r="716" spans="1:24" ht="14.25" customHeight="1" thickBot="1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</row>
    <row r="717" spans="1:24" ht="14.25" customHeight="1" thickBot="1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</row>
    <row r="718" spans="1:24" ht="14.25" customHeight="1" thickBot="1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</row>
    <row r="719" spans="1:24" ht="14.25" customHeight="1" thickBot="1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</row>
    <row r="720" spans="1:24" ht="14.25" customHeight="1" thickBot="1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</row>
    <row r="721" spans="1:24" ht="14.25" customHeight="1" thickBot="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</row>
    <row r="722" spans="1:24" ht="14.25" customHeight="1" thickBot="1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</row>
    <row r="723" spans="1:24" ht="14.25" customHeight="1" thickBot="1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</row>
    <row r="724" spans="1:24" ht="14.25" customHeight="1" thickBot="1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</row>
    <row r="725" spans="1:24" ht="14.25" customHeight="1" thickBot="1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</row>
    <row r="726" spans="1:24" ht="14.25" customHeight="1" thickBot="1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</row>
    <row r="727" spans="1:24" ht="14.25" customHeight="1" thickBot="1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</row>
    <row r="728" spans="1:24" ht="14.25" customHeight="1" thickBot="1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</row>
    <row r="729" spans="1:24" ht="14.25" customHeight="1" thickBot="1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</row>
    <row r="730" spans="1:24" ht="14.25" customHeight="1" thickBot="1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</row>
    <row r="731" spans="1:24" ht="14.25" customHeight="1" thickBot="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</row>
    <row r="732" spans="1:24" ht="14.25" customHeight="1" thickBot="1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</row>
    <row r="733" spans="1:24" ht="14.25" customHeight="1" thickBot="1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</row>
    <row r="734" spans="1:24" ht="14.25" customHeight="1" thickBot="1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</row>
    <row r="735" spans="1:24" ht="14.25" customHeight="1" thickBot="1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</row>
    <row r="736" spans="1:24" ht="14.25" customHeight="1" thickBot="1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</row>
    <row r="737" spans="1:24" ht="14.25" customHeight="1" thickBot="1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</row>
    <row r="738" spans="1:24" ht="14.25" customHeight="1" thickBot="1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</row>
    <row r="739" spans="1:24" ht="14.25" customHeight="1" thickBot="1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</row>
    <row r="740" spans="1:24" ht="14.25" customHeight="1" thickBot="1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</row>
    <row r="741" spans="1:24" ht="14.25" customHeight="1" thickBot="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</row>
    <row r="742" spans="1:24" ht="14.25" customHeight="1" thickBot="1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</row>
    <row r="743" spans="1:24" ht="14.25" customHeight="1" thickBot="1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</row>
    <row r="744" spans="1:24" ht="14.25" customHeight="1" thickBot="1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</row>
    <row r="745" spans="1:24" ht="14.25" customHeight="1" thickBot="1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</row>
    <row r="746" spans="1:24" ht="14.25" customHeight="1" thickBot="1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</row>
    <row r="747" spans="1:24" ht="14.25" customHeight="1" thickBot="1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</row>
    <row r="748" spans="1:24" ht="14.25" customHeight="1" thickBot="1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</row>
    <row r="749" spans="1:24" ht="14.25" customHeight="1" thickBot="1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</row>
    <row r="750" spans="1:24" ht="14.25" customHeight="1" thickBot="1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</row>
    <row r="751" spans="1:24" ht="14.25" customHeight="1" thickBot="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</row>
    <row r="752" spans="1:24" ht="14.25" customHeight="1" thickBot="1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</row>
    <row r="753" spans="1:24" ht="14.25" customHeight="1" thickBot="1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</row>
    <row r="754" spans="1:24" ht="14.25" customHeight="1" thickBot="1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</row>
    <row r="755" spans="1:24" ht="14.25" customHeight="1" thickBot="1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</row>
    <row r="756" spans="1:24" ht="14.25" customHeight="1" thickBot="1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</row>
    <row r="757" spans="1:24" ht="14.25" customHeight="1" thickBot="1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</row>
    <row r="758" spans="1:24" ht="14.25" customHeight="1" thickBot="1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</row>
    <row r="759" spans="1:24" ht="14.25" customHeight="1" thickBot="1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</row>
    <row r="760" spans="1:24" ht="14.25" customHeight="1" thickBot="1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</row>
    <row r="761" spans="1:24" ht="14.25" customHeight="1" thickBot="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</row>
    <row r="762" spans="1:24" ht="14.25" customHeight="1" thickBot="1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</row>
    <row r="763" spans="1:24" ht="14.25" customHeight="1" thickBot="1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</row>
    <row r="764" spans="1:24" ht="14.25" customHeight="1" thickBot="1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</row>
    <row r="765" spans="1:24" ht="14.25" customHeight="1" thickBot="1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</row>
    <row r="766" spans="1:24" ht="14.25" customHeight="1" thickBot="1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</row>
    <row r="767" spans="1:24" ht="14.25" customHeight="1" thickBot="1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</row>
    <row r="768" spans="1:24" ht="14.25" customHeight="1" thickBot="1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</row>
    <row r="769" spans="1:24" ht="14.25" customHeight="1" thickBot="1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</row>
    <row r="770" spans="1:24" ht="14.25" customHeight="1" thickBot="1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</row>
    <row r="771" spans="1:24" ht="14.25" customHeight="1" thickBot="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</row>
    <row r="772" spans="1:24" ht="14.25" customHeight="1" thickBot="1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</row>
    <row r="773" spans="1:24" ht="14.25" customHeight="1" thickBot="1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</row>
    <row r="774" spans="1:24" ht="14.25" customHeight="1" thickBot="1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</row>
    <row r="775" spans="1:24" ht="14.25" customHeight="1" thickBot="1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</row>
    <row r="776" spans="1:24" ht="14.25" customHeight="1" thickBot="1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</row>
    <row r="777" spans="1:24" ht="14.25" customHeight="1" thickBot="1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</row>
    <row r="778" spans="1:24" ht="14.25" customHeight="1" thickBot="1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</row>
    <row r="779" spans="1:24" ht="14.25" customHeight="1" thickBot="1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</row>
    <row r="780" spans="1:24" ht="14.25" customHeight="1" thickBot="1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</row>
    <row r="781" spans="1:24" ht="14.25" customHeight="1" thickBot="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</row>
    <row r="782" spans="1:24" ht="14.25" customHeight="1" thickBot="1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</row>
    <row r="783" spans="1:24" ht="14.25" customHeight="1" thickBot="1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</row>
    <row r="784" spans="1:24" ht="14.25" customHeight="1" thickBot="1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</row>
    <row r="785" spans="1:24" ht="14.25" customHeight="1" thickBot="1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</row>
    <row r="786" spans="1:24" ht="14.25" customHeight="1" thickBot="1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</row>
    <row r="787" spans="1:24" ht="14.25" customHeight="1" thickBot="1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</row>
    <row r="788" spans="1:24" ht="14.25" customHeight="1" thickBot="1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</row>
    <row r="789" spans="1:24" ht="14.25" customHeight="1" thickBot="1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</row>
    <row r="790" spans="1:24" ht="14.25" customHeight="1" thickBot="1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</row>
    <row r="791" spans="1:24" ht="14.25" customHeight="1" thickBot="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</row>
    <row r="792" spans="1:24" ht="14.25" customHeight="1" thickBot="1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</row>
    <row r="793" spans="1:24" ht="14.25" customHeight="1" thickBot="1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</row>
    <row r="794" spans="1:24" ht="14.25" customHeight="1" thickBot="1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</row>
    <row r="795" spans="1:24" ht="14.25" customHeight="1" thickBot="1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</row>
    <row r="796" spans="1:24" ht="14.25" customHeight="1" thickBot="1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</row>
    <row r="797" spans="1:24" ht="14.25" customHeight="1" thickBot="1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</row>
    <row r="798" spans="1:24" ht="14.25" customHeight="1" thickBot="1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</row>
    <row r="799" spans="1:24" ht="14.25" customHeight="1" thickBot="1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</row>
    <row r="800" spans="1:24" ht="14.25" customHeight="1" thickBot="1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</row>
    <row r="801" spans="1:24" ht="14.25" customHeight="1" thickBot="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</row>
    <row r="802" spans="1:24" ht="14.25" customHeight="1" thickBot="1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</row>
    <row r="803" spans="1:24" ht="14.25" customHeight="1" thickBot="1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</row>
    <row r="804" spans="1:24" ht="14.25" customHeight="1" thickBot="1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</row>
    <row r="805" spans="1:24" ht="14.25" customHeight="1" thickBot="1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</row>
    <row r="806" spans="1:24" ht="14.25" customHeight="1" thickBot="1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</row>
    <row r="807" spans="1:24" ht="14.25" customHeight="1" thickBot="1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</row>
    <row r="808" spans="1:24" ht="14.25" customHeight="1" thickBot="1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</row>
    <row r="809" spans="1:24" ht="14.25" customHeight="1" thickBot="1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</row>
    <row r="810" spans="1:24" ht="14.25" customHeight="1" thickBot="1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</row>
    <row r="811" spans="1:24" ht="14.25" customHeight="1" thickBot="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</row>
    <row r="812" spans="1:24" ht="14.25" customHeight="1" thickBot="1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</row>
    <row r="813" spans="1:24" ht="14.25" customHeight="1" thickBot="1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</row>
    <row r="814" spans="1:24" ht="14.25" customHeight="1" thickBot="1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</row>
    <row r="815" spans="1:24" ht="14.25" customHeight="1" thickBot="1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</row>
    <row r="816" spans="1:24" ht="14.25" customHeight="1" thickBot="1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</row>
    <row r="817" spans="1:24" ht="14.25" customHeight="1" thickBot="1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</row>
    <row r="818" spans="1:24" ht="14.25" customHeight="1" thickBot="1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</row>
    <row r="819" spans="1:24" ht="14.25" customHeight="1" thickBot="1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</row>
    <row r="820" spans="1:24" ht="14.25" customHeight="1" thickBot="1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</row>
    <row r="821" spans="1:24" ht="14.25" customHeight="1" thickBot="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</row>
    <row r="822" spans="1:24" ht="14.25" customHeight="1" thickBot="1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</row>
    <row r="823" spans="1:24" ht="14.25" customHeight="1" thickBot="1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</row>
    <row r="824" spans="1:24" ht="14.25" customHeight="1" thickBot="1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</row>
    <row r="825" spans="1:24" ht="14.25" customHeight="1" thickBot="1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</row>
    <row r="826" spans="1:24" ht="14.25" customHeight="1" thickBot="1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</row>
    <row r="827" spans="1:24" ht="14.25" customHeight="1" thickBot="1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</row>
    <row r="828" spans="1:24" ht="14.25" customHeight="1" thickBot="1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</row>
    <row r="829" spans="1:24" ht="14.25" customHeight="1" thickBot="1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</row>
    <row r="830" spans="1:24" ht="14.25" customHeight="1" thickBot="1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</row>
    <row r="831" spans="1:24" ht="14.25" customHeight="1" thickBot="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</row>
    <row r="832" spans="1:24" ht="14.25" customHeight="1" thickBot="1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</row>
    <row r="833" spans="1:24" ht="14.25" customHeight="1" thickBot="1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</row>
    <row r="834" spans="1:24" ht="14.25" customHeight="1" thickBot="1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</row>
    <row r="835" spans="1:24" ht="14.25" customHeight="1" thickBot="1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</row>
    <row r="836" spans="1:24" ht="14.25" customHeight="1" thickBot="1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</row>
    <row r="837" spans="1:24" ht="14.25" customHeight="1" thickBot="1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</row>
    <row r="838" spans="1:24" ht="14.25" customHeight="1" thickBot="1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</row>
    <row r="839" spans="1:24" ht="14.25" customHeight="1" thickBot="1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</row>
    <row r="840" spans="1:24" ht="14.25" customHeight="1" thickBot="1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</row>
    <row r="841" spans="1:24" ht="14.25" customHeight="1" thickBot="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</row>
    <row r="842" spans="1:24" ht="14.25" customHeight="1" thickBot="1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</row>
    <row r="843" spans="1:24" ht="14.25" customHeight="1" thickBot="1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</row>
    <row r="844" spans="1:24" ht="14.25" customHeight="1" thickBot="1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</row>
    <row r="845" spans="1:24" ht="14.25" customHeight="1" thickBot="1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</row>
    <row r="846" spans="1:24" ht="14.25" customHeight="1" thickBot="1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</row>
    <row r="847" spans="1:24" ht="14.25" customHeight="1" thickBot="1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</row>
    <row r="848" spans="1:24" ht="14.25" customHeight="1" thickBot="1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</row>
    <row r="849" spans="1:24" ht="14.25" customHeight="1" thickBot="1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</row>
    <row r="850" spans="1:24" ht="14.25" customHeight="1" thickBot="1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</row>
    <row r="851" spans="1:24" ht="14.25" customHeight="1" thickBot="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</row>
    <row r="852" spans="1:24" ht="14.25" customHeight="1" thickBot="1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</row>
    <row r="853" spans="1:24" ht="14.25" customHeight="1" thickBot="1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</row>
    <row r="854" spans="1:24" ht="14.25" customHeight="1" thickBot="1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</row>
    <row r="855" spans="1:24" ht="14.25" customHeight="1" thickBot="1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</row>
    <row r="856" spans="1:24" ht="14.25" customHeight="1" thickBot="1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</row>
    <row r="857" spans="1:24" ht="14.25" customHeight="1" thickBot="1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</row>
    <row r="858" spans="1:24" ht="14.25" customHeight="1" thickBot="1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</row>
    <row r="859" spans="1:24" ht="14.25" customHeight="1" thickBot="1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</row>
    <row r="860" spans="1:24" ht="14.25" customHeight="1" thickBot="1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</row>
    <row r="861" spans="1:24" ht="14.25" customHeight="1" thickBot="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</row>
    <row r="862" spans="1:24" ht="14.25" customHeight="1" thickBot="1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</row>
    <row r="863" spans="1:24" ht="14.25" customHeight="1" thickBot="1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</row>
    <row r="864" spans="1:24" ht="14.25" customHeight="1" thickBot="1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</row>
    <row r="865" spans="1:24" ht="14.25" customHeight="1" thickBot="1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</row>
    <row r="866" spans="1:24" ht="14.25" customHeight="1" thickBot="1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</row>
    <row r="867" spans="1:24" ht="14.25" customHeight="1" thickBot="1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</row>
    <row r="868" spans="1:24" ht="14.25" customHeight="1" thickBot="1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</row>
    <row r="869" spans="1:24" ht="14.25" customHeight="1" thickBot="1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</row>
    <row r="870" spans="1:24" ht="14.25" customHeight="1" thickBot="1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</row>
    <row r="871" spans="1:24" ht="14.25" customHeight="1" thickBot="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</row>
    <row r="872" spans="1:24" ht="14.25" customHeight="1" thickBot="1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</row>
    <row r="873" spans="1:24" ht="14.25" customHeight="1" thickBot="1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</row>
    <row r="874" spans="1:24" ht="14.25" customHeight="1" thickBot="1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</row>
    <row r="875" spans="1:24" ht="14.25" customHeight="1" thickBot="1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</row>
    <row r="876" spans="1:24" ht="14.25" customHeight="1" thickBot="1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</row>
    <row r="877" spans="1:24" ht="14.25" customHeight="1" thickBot="1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</row>
    <row r="878" spans="1:24" ht="14.25" customHeight="1" thickBot="1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</row>
    <row r="879" spans="1:24" ht="14.25" customHeight="1" thickBot="1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</row>
    <row r="880" spans="1:24" ht="14.25" customHeight="1" thickBot="1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</row>
    <row r="881" spans="1:24" ht="14.25" customHeight="1" thickBot="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</row>
    <row r="882" spans="1:24" ht="14.25" customHeight="1" thickBot="1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</row>
    <row r="883" spans="1:24" ht="14.25" customHeight="1" thickBot="1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</row>
    <row r="884" spans="1:24" ht="14.25" customHeight="1" thickBot="1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</row>
    <row r="885" spans="1:24" ht="14.25" customHeight="1" thickBot="1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</row>
    <row r="886" spans="1:24" ht="14.25" customHeight="1" thickBot="1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</row>
    <row r="887" spans="1:24" ht="14.25" customHeight="1" thickBot="1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</row>
    <row r="888" spans="1:24" ht="14.25" customHeight="1" thickBot="1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</row>
    <row r="889" spans="1:24" ht="14.25" customHeight="1" thickBot="1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</row>
    <row r="890" spans="1:24" ht="14.25" customHeight="1" thickBot="1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</row>
    <row r="891" spans="1:24" ht="14.25" customHeight="1" thickBot="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</row>
    <row r="892" spans="1:24" ht="14.25" customHeight="1" thickBot="1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</row>
    <row r="893" spans="1:24" ht="14.25" customHeight="1" thickBot="1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</row>
    <row r="894" spans="1:24" ht="14.25" customHeight="1" thickBot="1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</row>
    <row r="895" spans="1:24" ht="14.25" customHeight="1" thickBot="1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</row>
    <row r="896" spans="1:24" ht="14.25" customHeight="1" thickBot="1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</row>
    <row r="897" spans="1:24" ht="14.25" customHeight="1" thickBot="1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</row>
    <row r="898" spans="1:24" ht="14.25" customHeight="1" thickBot="1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</row>
    <row r="899" spans="1:24" ht="14.25" customHeight="1" thickBot="1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</row>
    <row r="900" spans="1:24" ht="14.25" customHeight="1" thickBot="1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</row>
    <row r="901" spans="1:24" ht="14.25" customHeight="1" thickBot="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</row>
    <row r="902" spans="1:24" ht="14.25" customHeight="1" thickBot="1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</row>
    <row r="903" spans="1:24" ht="14.25" customHeight="1" thickBot="1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</row>
    <row r="904" spans="1:24" ht="14.25" customHeight="1" thickBot="1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</row>
    <row r="905" spans="1:24" ht="14.25" customHeight="1" thickBot="1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</row>
    <row r="906" spans="1:24" ht="14.25" customHeight="1" thickBot="1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</row>
    <row r="907" spans="1:24" ht="14.25" customHeight="1" thickBot="1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</row>
    <row r="908" spans="1:24" ht="14.25" customHeight="1" thickBot="1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</row>
    <row r="909" spans="1:24" ht="14.25" customHeight="1" thickBot="1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</row>
    <row r="910" spans="1:24" ht="14.25" customHeight="1" thickBot="1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</row>
    <row r="911" spans="1:24" ht="14.25" customHeight="1" thickBot="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</row>
    <row r="912" spans="1:24" ht="14.25" customHeight="1" thickBot="1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</row>
    <row r="913" spans="1:24" ht="14.25" customHeight="1" thickBot="1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</row>
    <row r="914" spans="1:24" ht="14.25" customHeight="1" thickBot="1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</row>
    <row r="915" spans="1:24" ht="14.25" customHeight="1" thickBot="1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</row>
    <row r="916" spans="1:24" ht="14.25" customHeight="1" thickBot="1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</row>
    <row r="917" spans="1:24" ht="14.25" customHeight="1" thickBot="1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</row>
    <row r="918" spans="1:24" ht="14.25" customHeight="1" thickBot="1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</row>
    <row r="919" spans="1:24" ht="14.25" customHeight="1" thickBot="1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</row>
    <row r="920" spans="1:24" ht="14.25" customHeight="1" thickBot="1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</row>
    <row r="921" spans="1:24" ht="14.25" customHeight="1" thickBot="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</row>
    <row r="922" spans="1:24" ht="14.25" customHeight="1" thickBot="1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</row>
    <row r="923" spans="1:24" ht="14.25" customHeight="1" thickBot="1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</row>
    <row r="924" spans="1:24" ht="14.25" customHeight="1" thickBot="1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</row>
    <row r="925" spans="1:24" ht="14.25" customHeight="1" thickBot="1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</row>
    <row r="926" spans="1:24" ht="14.25" customHeight="1" thickBot="1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</row>
    <row r="927" spans="1:24" ht="14.25" customHeight="1" thickBot="1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</row>
    <row r="928" spans="1:24" ht="14.25" customHeight="1" thickBot="1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</row>
    <row r="929" spans="1:24" ht="14.25" customHeight="1" thickBot="1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</row>
    <row r="930" spans="1:24" ht="14.25" customHeight="1" thickBot="1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</row>
    <row r="931" spans="1:24" ht="14.25" customHeight="1" thickBot="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</row>
    <row r="932" spans="1:24" ht="14.25" customHeight="1" thickBot="1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</row>
    <row r="933" spans="1:24" ht="14.25" customHeight="1" thickBot="1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</row>
    <row r="934" spans="1:24" ht="14.25" customHeight="1" thickBot="1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</row>
    <row r="935" spans="1:24" ht="14.25" customHeight="1" thickBot="1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</row>
    <row r="936" spans="1:24" ht="14.25" customHeight="1" thickBot="1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</row>
    <row r="937" spans="1:24" ht="14.25" customHeight="1" thickBot="1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</row>
    <row r="938" spans="1:24" ht="14.25" customHeight="1" thickBot="1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</row>
    <row r="939" spans="1:24" ht="14.25" customHeight="1" thickBot="1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</row>
    <row r="940" spans="1:24" ht="14.25" customHeight="1" thickBot="1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</row>
    <row r="941" spans="1:24" ht="14.25" customHeight="1" thickBot="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</row>
    <row r="942" spans="1:24" ht="14.25" customHeight="1" thickBot="1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</row>
    <row r="943" spans="1:24" ht="14.25" customHeight="1" thickBot="1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</row>
    <row r="944" spans="1:24" ht="14.25" customHeight="1" thickBot="1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</row>
    <row r="945" spans="1:24" ht="14.25" customHeight="1" thickBot="1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</row>
    <row r="946" spans="1:24" ht="14.25" customHeight="1" thickBot="1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</row>
    <row r="947" spans="1:24" ht="14.25" customHeight="1" thickBot="1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</row>
    <row r="948" spans="1:24" ht="14.25" customHeight="1" thickBot="1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</row>
    <row r="949" spans="1:24" ht="14.25" customHeight="1" thickBot="1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</row>
    <row r="950" spans="1:24" ht="14.25" customHeight="1" thickBot="1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</row>
    <row r="951" spans="1:24" ht="14.25" customHeight="1" thickBot="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</row>
    <row r="952" spans="1:24" ht="14.25" customHeight="1" thickBot="1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</row>
    <row r="953" spans="1:24" ht="14.25" customHeight="1" thickBot="1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</row>
    <row r="954" spans="1:24" ht="14.25" customHeight="1" thickBot="1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</row>
    <row r="955" spans="1:24" ht="14.25" customHeight="1" thickBot="1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</row>
    <row r="956" spans="1:24" ht="14.25" customHeight="1" thickBot="1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</row>
    <row r="957" spans="1:24" ht="14.25" customHeight="1" thickBot="1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</row>
    <row r="958" spans="1:24" ht="14.25" customHeight="1" thickBot="1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</row>
    <row r="959" spans="1:24" ht="14.25" customHeight="1" thickBot="1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</row>
    <row r="960" spans="1:24" ht="14.25" customHeight="1" thickBot="1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</row>
    <row r="961" spans="1:24" ht="14.25" customHeight="1" thickBot="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</row>
    <row r="962" spans="1:24" ht="14.25" customHeight="1" thickBot="1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</row>
    <row r="963" spans="1:24" ht="14.25" customHeight="1" thickBot="1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</row>
    <row r="964" spans="1:24" ht="14.25" customHeight="1" thickBot="1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</row>
    <row r="965" spans="1:24" ht="14.25" customHeight="1" thickBot="1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</row>
    <row r="966" spans="1:24" ht="14.25" customHeight="1" thickBot="1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</row>
    <row r="967" spans="1:24" ht="14.25" customHeight="1" thickBot="1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</row>
    <row r="968" spans="1:24" ht="14.25" customHeight="1" thickBot="1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</row>
    <row r="969" spans="1:24" ht="14.25" customHeight="1" thickBot="1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</row>
    <row r="970" spans="1:24" ht="14.25" customHeight="1" thickBot="1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</row>
    <row r="971" spans="1:24" ht="14.25" customHeight="1" thickBot="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</row>
    <row r="972" spans="1:24" ht="14.25" customHeight="1" thickBot="1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</row>
    <row r="973" spans="1:24" ht="14.25" customHeight="1" thickBot="1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</row>
    <row r="974" spans="1:24" ht="14.25" customHeight="1" thickBot="1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</row>
    <row r="975" spans="1:24" ht="14.25" customHeight="1" thickBot="1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</row>
    <row r="976" spans="1:24" ht="14.25" customHeight="1" thickBot="1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</row>
    <row r="977" spans="1:24" ht="14.25" customHeight="1" thickBot="1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</row>
    <row r="978" spans="1:24" ht="14.25" customHeight="1" thickBot="1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</row>
    <row r="979" spans="1:24" ht="14.25" customHeight="1" thickBot="1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</row>
    <row r="980" spans="1:24" ht="14.25" customHeight="1" thickBot="1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</row>
    <row r="981" spans="1:24" ht="14.25" customHeight="1" thickBot="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</row>
    <row r="982" spans="1:24" ht="14.25" customHeight="1" thickBot="1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</row>
    <row r="983" spans="1:24" ht="14.25" customHeight="1" thickBot="1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</row>
    <row r="984" spans="1:24" ht="14.25" customHeight="1" thickBot="1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</row>
    <row r="985" spans="1:24" ht="14.25" customHeight="1" thickBot="1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</row>
    <row r="986" spans="1:24" ht="14.25" customHeight="1" thickBot="1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</row>
    <row r="987" spans="1:24" ht="14.25" customHeight="1" thickBot="1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</row>
    <row r="988" spans="1:24" ht="14.25" customHeight="1" thickBot="1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</row>
    <row r="989" spans="1:24" ht="14.25" customHeight="1" thickBot="1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</row>
    <row r="990" spans="1:24" ht="14.25" customHeight="1" thickBot="1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</row>
    <row r="991" spans="1:24" ht="14.25" customHeight="1" thickBot="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</row>
    <row r="992" spans="1:24" ht="14.25" customHeight="1" thickBot="1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</row>
    <row r="993" spans="1:24" ht="14.25" customHeight="1" thickBot="1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</row>
    <row r="994" spans="1:24" ht="14.25" customHeight="1" thickBot="1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</row>
    <row r="995" spans="1:24" ht="14.25" customHeight="1" thickBot="1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</row>
    <row r="996" spans="1:24" ht="14.25" customHeight="1" thickBot="1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</row>
    <row r="997" spans="1:24" ht="14.25" customHeight="1" thickBot="1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</row>
    <row r="998" spans="1:24" ht="14.25" customHeight="1" thickBot="1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</row>
    <row r="999" spans="1:24" ht="14.25" customHeight="1" thickBot="1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</row>
    <row r="1000" spans="1:24" ht="14.25" customHeight="1" thickBot="1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</row>
  </sheetData>
  <mergeCells count="24">
    <mergeCell ref="A49:C49"/>
    <mergeCell ref="A50:C50"/>
    <mergeCell ref="D50:E50"/>
    <mergeCell ref="F18:G18"/>
    <mergeCell ref="A31:C31"/>
    <mergeCell ref="A32:C32"/>
    <mergeCell ref="D32:E32"/>
    <mergeCell ref="A36:A37"/>
    <mergeCell ref="B36:B37"/>
    <mergeCell ref="C36:C37"/>
    <mergeCell ref="D36:E36"/>
    <mergeCell ref="F36:G36"/>
    <mergeCell ref="F3:G3"/>
    <mergeCell ref="A15:C15"/>
    <mergeCell ref="D15:E15"/>
    <mergeCell ref="A18:A19"/>
    <mergeCell ref="B18:B19"/>
    <mergeCell ref="C18:C19"/>
    <mergeCell ref="D18:E18"/>
    <mergeCell ref="A14:C14"/>
    <mergeCell ref="A3:A4"/>
    <mergeCell ref="B3:B4"/>
    <mergeCell ref="C3:C4"/>
    <mergeCell ref="D3: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4B1-DB3B-4C10-9FD1-120897B6F651}">
  <dimension ref="A1:X987"/>
  <sheetViews>
    <sheetView workbookViewId="0">
      <selection activeCell="I8" sqref="I8"/>
    </sheetView>
  </sheetViews>
  <sheetFormatPr defaultColWidth="14.44140625" defaultRowHeight="14.4"/>
  <cols>
    <col min="1" max="1" width="9" customWidth="1"/>
    <col min="2" max="2" width="14.88671875" customWidth="1"/>
    <col min="3" max="3" width="42.109375" customWidth="1"/>
    <col min="4" max="5" width="8.6640625" customWidth="1"/>
    <col min="6" max="7" width="8.6640625" hidden="1" customWidth="1"/>
    <col min="8" max="8" width="8.6640625" customWidth="1"/>
    <col min="9" max="9" width="36.33203125" customWidth="1"/>
    <col min="10" max="24" width="8.6640625" customWidth="1"/>
  </cols>
  <sheetData>
    <row r="1" spans="1:24" ht="14.25" customHeight="1">
      <c r="A1" s="94" t="s">
        <v>192</v>
      </c>
      <c r="B1" s="94"/>
      <c r="C1" s="94"/>
      <c r="D1" s="94">
        <v>0</v>
      </c>
      <c r="E1" s="94"/>
      <c r="F1" s="94"/>
      <c r="G1" s="94"/>
      <c r="H1" s="94"/>
      <c r="I1" s="94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14.25" customHeight="1">
      <c r="A2" s="96" t="s">
        <v>193</v>
      </c>
      <c r="B2" s="97"/>
      <c r="C2" s="97"/>
      <c r="D2" s="97"/>
      <c r="E2" s="97"/>
      <c r="F2" s="97"/>
      <c r="G2" s="97"/>
      <c r="H2" s="97"/>
      <c r="I2" s="97"/>
    </row>
    <row r="3" spans="1:24" ht="14.25" customHeight="1">
      <c r="A3" s="121" t="s">
        <v>2</v>
      </c>
      <c r="B3" s="150" t="s">
        <v>142</v>
      </c>
      <c r="C3" s="121" t="s">
        <v>143</v>
      </c>
      <c r="D3" s="147" t="s">
        <v>33</v>
      </c>
      <c r="E3" s="125"/>
      <c r="F3" s="147" t="s">
        <v>144</v>
      </c>
      <c r="G3" s="125"/>
      <c r="H3" s="98" t="s">
        <v>6</v>
      </c>
      <c r="I3" s="99" t="s">
        <v>137</v>
      </c>
    </row>
    <row r="4" spans="1:24" ht="14.25" customHeight="1">
      <c r="A4" s="120"/>
      <c r="B4" s="120"/>
      <c r="C4" s="120"/>
      <c r="D4" s="98" t="s">
        <v>7</v>
      </c>
      <c r="E4" s="98" t="s">
        <v>145</v>
      </c>
      <c r="F4" s="98" t="s">
        <v>7</v>
      </c>
      <c r="G4" s="98" t="s">
        <v>145</v>
      </c>
      <c r="H4" s="98"/>
      <c r="I4" s="99"/>
    </row>
    <row r="5" spans="1:24" ht="14.25" customHeight="1">
      <c r="A5" s="91">
        <v>1</v>
      </c>
      <c r="B5" s="92">
        <v>1522013</v>
      </c>
      <c r="C5" s="93" t="s">
        <v>10</v>
      </c>
      <c r="D5" s="98">
        <v>1</v>
      </c>
      <c r="E5" s="98">
        <v>2</v>
      </c>
      <c r="F5" s="98"/>
      <c r="G5" s="98"/>
      <c r="H5" s="100" t="s">
        <v>14</v>
      </c>
      <c r="I5" s="101" t="s">
        <v>52</v>
      </c>
    </row>
    <row r="6" spans="1:24" ht="14.25" customHeight="1">
      <c r="A6" s="91">
        <v>2</v>
      </c>
      <c r="B6" s="92">
        <v>1522023</v>
      </c>
      <c r="C6" s="93" t="s">
        <v>194</v>
      </c>
      <c r="D6" s="98">
        <v>1</v>
      </c>
      <c r="E6" s="98">
        <v>2</v>
      </c>
      <c r="F6" s="98"/>
      <c r="G6" s="98"/>
      <c r="H6" s="100" t="s">
        <v>14</v>
      </c>
      <c r="I6" s="101" t="s">
        <v>195</v>
      </c>
    </row>
    <row r="7" spans="1:24" ht="14.25" customHeight="1">
      <c r="A7" s="91">
        <v>3</v>
      </c>
      <c r="B7" s="92">
        <v>1522033</v>
      </c>
      <c r="C7" s="93" t="s">
        <v>46</v>
      </c>
      <c r="D7" s="98">
        <v>2</v>
      </c>
      <c r="E7" s="98">
        <v>1</v>
      </c>
      <c r="F7" s="98"/>
      <c r="G7" s="98"/>
      <c r="H7" s="100" t="s">
        <v>14</v>
      </c>
      <c r="I7" s="102" t="s">
        <v>182</v>
      </c>
    </row>
    <row r="8" spans="1:24" ht="14.25" customHeight="1">
      <c r="A8" s="91">
        <v>4</v>
      </c>
      <c r="B8" s="92">
        <v>1521042</v>
      </c>
      <c r="C8" s="93" t="s">
        <v>26</v>
      </c>
      <c r="D8" s="98">
        <v>0</v>
      </c>
      <c r="E8" s="98">
        <v>2</v>
      </c>
      <c r="F8" s="98"/>
      <c r="G8" s="98"/>
      <c r="H8" s="100" t="s">
        <v>14</v>
      </c>
      <c r="I8" s="101" t="s">
        <v>158</v>
      </c>
    </row>
    <row r="9" spans="1:24" ht="14.25" customHeight="1">
      <c r="A9" s="91">
        <v>5</v>
      </c>
      <c r="B9" s="92">
        <v>1522052</v>
      </c>
      <c r="C9" s="93" t="s">
        <v>80</v>
      </c>
      <c r="D9" s="98">
        <v>1</v>
      </c>
      <c r="E9" s="98">
        <v>1</v>
      </c>
      <c r="F9" s="98"/>
      <c r="G9" s="98"/>
      <c r="H9" s="100" t="s">
        <v>14</v>
      </c>
      <c r="I9" s="101" t="s">
        <v>168</v>
      </c>
    </row>
    <row r="10" spans="1:24" ht="14.25" customHeight="1">
      <c r="A10" s="91">
        <v>6</v>
      </c>
      <c r="B10" s="92">
        <v>1522063</v>
      </c>
      <c r="C10" s="93" t="s">
        <v>196</v>
      </c>
      <c r="D10" s="98">
        <v>2</v>
      </c>
      <c r="E10" s="98">
        <v>1</v>
      </c>
      <c r="F10" s="98"/>
      <c r="G10" s="98"/>
      <c r="H10" s="100" t="s">
        <v>14</v>
      </c>
      <c r="I10" s="101" t="s">
        <v>197</v>
      </c>
    </row>
    <row r="11" spans="1:24" ht="14.25" customHeight="1">
      <c r="A11" s="91">
        <v>7</v>
      </c>
      <c r="B11" s="103" t="s">
        <v>111</v>
      </c>
      <c r="C11" s="93" t="s">
        <v>22</v>
      </c>
      <c r="D11" s="98">
        <v>2</v>
      </c>
      <c r="E11" s="98">
        <v>0</v>
      </c>
      <c r="F11" s="98"/>
      <c r="G11" s="98"/>
      <c r="H11" s="100" t="s">
        <v>14</v>
      </c>
      <c r="I11" s="101"/>
    </row>
    <row r="12" spans="1:24" ht="14.25" customHeight="1">
      <c r="A12" s="91">
        <v>8</v>
      </c>
      <c r="B12" s="103" t="s">
        <v>198</v>
      </c>
      <c r="C12" s="93" t="s">
        <v>199</v>
      </c>
      <c r="D12" s="98">
        <v>2</v>
      </c>
      <c r="E12" s="98">
        <v>0</v>
      </c>
      <c r="F12" s="98"/>
      <c r="G12" s="98"/>
      <c r="H12" s="100" t="s">
        <v>14</v>
      </c>
      <c r="I12" s="101" t="s">
        <v>197</v>
      </c>
    </row>
    <row r="13" spans="1:24" ht="14.25" customHeight="1">
      <c r="A13" s="91">
        <v>9</v>
      </c>
      <c r="B13" s="92"/>
      <c r="C13" s="93"/>
      <c r="D13" s="98"/>
      <c r="E13" s="98"/>
      <c r="F13" s="98"/>
      <c r="G13" s="98"/>
      <c r="H13" s="104"/>
      <c r="I13" s="101"/>
    </row>
    <row r="14" spans="1:24" ht="14.25" customHeight="1">
      <c r="A14" s="91">
        <v>10</v>
      </c>
      <c r="B14" s="92"/>
      <c r="C14" s="93"/>
      <c r="D14" s="98"/>
      <c r="E14" s="98"/>
      <c r="F14" s="98"/>
      <c r="G14" s="98"/>
      <c r="H14" s="104"/>
      <c r="I14" s="101"/>
    </row>
    <row r="15" spans="1:24" ht="14.25" customHeight="1">
      <c r="A15" s="91">
        <v>11</v>
      </c>
      <c r="B15" s="92"/>
      <c r="C15" s="93"/>
      <c r="D15" s="98"/>
      <c r="E15" s="98"/>
      <c r="F15" s="98"/>
      <c r="G15" s="98"/>
      <c r="H15" s="104"/>
      <c r="I15" s="101"/>
    </row>
    <row r="16" spans="1:24" ht="14.25" customHeight="1">
      <c r="A16" s="105"/>
      <c r="B16" s="106"/>
      <c r="C16" s="107"/>
      <c r="D16" s="108"/>
      <c r="E16" s="108"/>
      <c r="F16" s="108"/>
      <c r="G16" s="108"/>
      <c r="H16" s="109"/>
      <c r="I16" s="11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9" ht="14.25" customHeight="1">
      <c r="A17" s="148" t="s">
        <v>97</v>
      </c>
      <c r="B17" s="123"/>
      <c r="C17" s="125"/>
      <c r="D17" s="111">
        <f t="shared" ref="D17:G17" si="0">SUM(D5:D16)</f>
        <v>11</v>
      </c>
      <c r="E17" s="111">
        <f t="shared" si="0"/>
        <v>9</v>
      </c>
      <c r="F17" s="111">
        <f t="shared" si="0"/>
        <v>0</v>
      </c>
      <c r="G17" s="111">
        <f t="shared" si="0"/>
        <v>0</v>
      </c>
      <c r="H17" s="111">
        <f>SUM(F17:G17)</f>
        <v>0</v>
      </c>
      <c r="I17" s="112"/>
    </row>
    <row r="18" spans="1:9" ht="14.25" customHeight="1">
      <c r="A18" s="149" t="s">
        <v>159</v>
      </c>
      <c r="B18" s="117"/>
      <c r="C18" s="118"/>
      <c r="D18" s="113"/>
      <c r="E18" s="113"/>
      <c r="F18" s="113"/>
      <c r="G18" s="113"/>
      <c r="H18" s="99"/>
      <c r="I18" s="112"/>
    </row>
    <row r="19" spans="1:9" ht="14.25" customHeight="1"/>
    <row r="20" spans="1:9" ht="14.25" customHeight="1"/>
    <row r="21" spans="1:9" ht="14.25" customHeight="1"/>
    <row r="22" spans="1:9" ht="14.25" customHeight="1"/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7">
    <mergeCell ref="F3:G3"/>
    <mergeCell ref="A17:C17"/>
    <mergeCell ref="A18:C18"/>
    <mergeCell ref="A3:A4"/>
    <mergeCell ref="B3:B4"/>
    <mergeCell ref="C3:C4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</vt:lpstr>
      <vt:lpstr>RKS</vt:lpstr>
      <vt:lpstr>TRM</vt:lpstr>
      <vt:lpstr>TRPL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Prih Diantono Abda'u</cp:lastModifiedBy>
  <dcterms:created xsi:type="dcterms:W3CDTF">2026-01-19T13:57:42Z</dcterms:created>
  <dcterms:modified xsi:type="dcterms:W3CDTF">2026-01-21T12:39:53Z</dcterms:modified>
</cp:coreProperties>
</file>